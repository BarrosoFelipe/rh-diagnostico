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H Techno Plast\Downloads\"/>
    </mc:Choice>
  </mc:AlternateContent>
  <xr:revisionPtr revIDLastSave="0" documentId="13_ncr:1_{6984DF9A-01BE-48A5-BE20-5A6AED7E697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📋 Dados Brutos" sheetId="1" r:id="rId1"/>
    <sheet name="📊 Indicadores Críticos" sheetId="2" r:id="rId2"/>
    <sheet name="💰 Financeiro &amp; EBITDA" sheetId="3" r:id="rId3"/>
    <sheet name="🎯 Dashboard Executivo" sheetId="4" r:id="rId4"/>
  </sheets>
  <calcPr calcId="191029"/>
</workbook>
</file>

<file path=xl/calcChain.xml><?xml version="1.0" encoding="utf-8"?>
<calcChain xmlns="http://schemas.openxmlformats.org/spreadsheetml/2006/main">
  <c r="F39" i="4" l="1"/>
  <c r="G39" i="4" s="1"/>
  <c r="G38" i="4"/>
  <c r="F38" i="4"/>
  <c r="F37" i="4"/>
  <c r="G37" i="4" s="1"/>
  <c r="F36" i="4"/>
  <c r="G36" i="4" s="1"/>
  <c r="G35" i="4"/>
  <c r="F35" i="4"/>
  <c r="G34" i="4"/>
  <c r="F34" i="4"/>
  <c r="M5" i="4"/>
  <c r="K5" i="4"/>
  <c r="G5" i="4"/>
  <c r="C5" i="4"/>
  <c r="E48" i="3"/>
  <c r="D48" i="3"/>
  <c r="F48" i="3" s="1"/>
  <c r="E47" i="3"/>
  <c r="D47" i="3"/>
  <c r="F47" i="3" s="1"/>
  <c r="E46" i="3"/>
  <c r="D46" i="3"/>
  <c r="F46" i="3" s="1"/>
  <c r="F45" i="3"/>
  <c r="E45" i="3"/>
  <c r="D45" i="3"/>
  <c r="E44" i="3"/>
  <c r="D44" i="3"/>
  <c r="F44" i="3" s="1"/>
  <c r="E43" i="3"/>
  <c r="D43" i="3"/>
  <c r="F43" i="3" s="1"/>
  <c r="E42" i="3"/>
  <c r="D42" i="3"/>
  <c r="F42" i="3" s="1"/>
  <c r="F41" i="3"/>
  <c r="E41" i="3"/>
  <c r="D41" i="3"/>
  <c r="E40" i="3"/>
  <c r="D40" i="3"/>
  <c r="F40" i="3" s="1"/>
  <c r="E39" i="3"/>
  <c r="D39" i="3"/>
  <c r="F39" i="3" s="1"/>
  <c r="E38" i="3"/>
  <c r="D38" i="3"/>
  <c r="K8" i="3" s="1"/>
  <c r="F37" i="3"/>
  <c r="E37" i="3"/>
  <c r="D37" i="3"/>
  <c r="F32" i="3"/>
  <c r="D32" i="3"/>
  <c r="H32" i="3" s="1"/>
  <c r="H31" i="3"/>
  <c r="D31" i="3"/>
  <c r="G31" i="3" s="1"/>
  <c r="H30" i="3"/>
  <c r="G30" i="3"/>
  <c r="F30" i="3"/>
  <c r="D30" i="3"/>
  <c r="F29" i="3"/>
  <c r="D29" i="3"/>
  <c r="H29" i="3" s="1"/>
  <c r="H28" i="3"/>
  <c r="D28" i="3"/>
  <c r="G28" i="3" s="1"/>
  <c r="H27" i="3"/>
  <c r="G27" i="3"/>
  <c r="F27" i="3"/>
  <c r="D27" i="3"/>
  <c r="F26" i="3"/>
  <c r="D26" i="3"/>
  <c r="H26" i="3" s="1"/>
  <c r="H25" i="3"/>
  <c r="D25" i="3"/>
  <c r="G25" i="3" s="1"/>
  <c r="H24" i="3"/>
  <c r="G24" i="3"/>
  <c r="F24" i="3"/>
  <c r="D24" i="3"/>
  <c r="F23" i="3"/>
  <c r="D23" i="3"/>
  <c r="H23" i="3" s="1"/>
  <c r="H22" i="3"/>
  <c r="D22" i="3"/>
  <c r="G22" i="3" s="1"/>
  <c r="H21" i="3"/>
  <c r="G21" i="3"/>
  <c r="F21" i="3"/>
  <c r="D21" i="3"/>
  <c r="B17" i="3"/>
  <c r="D16" i="3"/>
  <c r="E16" i="3" s="1"/>
  <c r="G16" i="3" s="1"/>
  <c r="G15" i="3"/>
  <c r="E15" i="3"/>
  <c r="D15" i="3"/>
  <c r="D14" i="3"/>
  <c r="E14" i="3" s="1"/>
  <c r="G14" i="3" s="1"/>
  <c r="D13" i="3"/>
  <c r="E13" i="3" s="1"/>
  <c r="G13" i="3" s="1"/>
  <c r="G12" i="3"/>
  <c r="E12" i="3"/>
  <c r="D12" i="3"/>
  <c r="D11" i="3"/>
  <c r="E11" i="3" s="1"/>
  <c r="G11" i="3" s="1"/>
  <c r="K10" i="3"/>
  <c r="D10" i="3"/>
  <c r="E10" i="3" s="1"/>
  <c r="G10" i="3" s="1"/>
  <c r="K9" i="3"/>
  <c r="E9" i="3"/>
  <c r="G9" i="3" s="1"/>
  <c r="D9" i="3"/>
  <c r="D8" i="3"/>
  <c r="E8" i="3" s="1"/>
  <c r="G8" i="3" s="1"/>
  <c r="K7" i="3"/>
  <c r="G7" i="3"/>
  <c r="E7" i="3"/>
  <c r="D7" i="3"/>
  <c r="D6" i="3"/>
  <c r="E6" i="3" s="1"/>
  <c r="G6" i="3" s="1"/>
  <c r="D5" i="3"/>
  <c r="E5" i="3" s="1"/>
  <c r="K4" i="3"/>
  <c r="H48" i="2"/>
  <c r="E5" i="4" s="1"/>
  <c r="G48" i="2"/>
  <c r="F48" i="2"/>
  <c r="H47" i="2"/>
  <c r="I47" i="2" s="1"/>
  <c r="G47" i="2"/>
  <c r="F47" i="2"/>
  <c r="G46" i="2"/>
  <c r="H46" i="2" s="1"/>
  <c r="I46" i="2" s="1"/>
  <c r="F46" i="2"/>
  <c r="H45" i="2"/>
  <c r="I45" i="2" s="1"/>
  <c r="G45" i="2"/>
  <c r="F45" i="2"/>
  <c r="H44" i="2"/>
  <c r="I44" i="2" s="1"/>
  <c r="G44" i="2"/>
  <c r="F44" i="2"/>
  <c r="G43" i="2"/>
  <c r="H43" i="2" s="1"/>
  <c r="I43" i="2" s="1"/>
  <c r="F43" i="2"/>
  <c r="H42" i="2"/>
  <c r="I42" i="2" s="1"/>
  <c r="G42" i="2"/>
  <c r="F42" i="2"/>
  <c r="H41" i="2"/>
  <c r="I41" i="2" s="1"/>
  <c r="G41" i="2"/>
  <c r="F41" i="2"/>
  <c r="G40" i="2"/>
  <c r="H40" i="2" s="1"/>
  <c r="I40" i="2" s="1"/>
  <c r="F40" i="2"/>
  <c r="H39" i="2"/>
  <c r="I39" i="2" s="1"/>
  <c r="G39" i="2"/>
  <c r="F39" i="2"/>
  <c r="H38" i="2"/>
  <c r="I38" i="2" s="1"/>
  <c r="G38" i="2"/>
  <c r="F38" i="2"/>
  <c r="G37" i="2"/>
  <c r="H37" i="2" s="1"/>
  <c r="I37" i="2" s="1"/>
  <c r="F37" i="2"/>
  <c r="G32" i="2"/>
  <c r="D32" i="2"/>
  <c r="H32" i="2" s="1"/>
  <c r="H31" i="2"/>
  <c r="G31" i="2"/>
  <c r="D31" i="2"/>
  <c r="F31" i="2" s="1"/>
  <c r="H30" i="2"/>
  <c r="G30" i="2"/>
  <c r="F30" i="2"/>
  <c r="D30" i="2"/>
  <c r="G29" i="2"/>
  <c r="D29" i="2"/>
  <c r="H29" i="2" s="1"/>
  <c r="H28" i="2"/>
  <c r="G28" i="2"/>
  <c r="D28" i="2"/>
  <c r="F28" i="2" s="1"/>
  <c r="H27" i="2"/>
  <c r="G27" i="2"/>
  <c r="F27" i="2"/>
  <c r="D27" i="2"/>
  <c r="G26" i="2"/>
  <c r="D26" i="2"/>
  <c r="H26" i="2" s="1"/>
  <c r="H25" i="2"/>
  <c r="G25" i="2"/>
  <c r="D25" i="2"/>
  <c r="F25" i="2" s="1"/>
  <c r="H24" i="2"/>
  <c r="G24" i="2"/>
  <c r="F24" i="2"/>
  <c r="D24" i="2"/>
  <c r="G23" i="2"/>
  <c r="D23" i="2"/>
  <c r="H23" i="2" s="1"/>
  <c r="H22" i="2"/>
  <c r="G22" i="2"/>
  <c r="D22" i="2"/>
  <c r="F22" i="2" s="1"/>
  <c r="H21" i="2"/>
  <c r="G21" i="2"/>
  <c r="F21" i="2"/>
  <c r="D21" i="2"/>
  <c r="I16" i="2"/>
  <c r="H16" i="2"/>
  <c r="F16" i="2"/>
  <c r="E16" i="2"/>
  <c r="I15" i="2"/>
  <c r="H15" i="2"/>
  <c r="F15" i="2"/>
  <c r="E15" i="2"/>
  <c r="F14" i="2"/>
  <c r="H14" i="2" s="1"/>
  <c r="E14" i="2"/>
  <c r="I13" i="2"/>
  <c r="H13" i="2"/>
  <c r="F13" i="2"/>
  <c r="E13" i="2"/>
  <c r="I12" i="2"/>
  <c r="H12" i="2"/>
  <c r="F12" i="2"/>
  <c r="E12" i="2"/>
  <c r="F11" i="2"/>
  <c r="I11" i="2" s="1"/>
  <c r="E11" i="2"/>
  <c r="I10" i="2"/>
  <c r="H10" i="2"/>
  <c r="F10" i="2"/>
  <c r="E10" i="2"/>
  <c r="I9" i="2"/>
  <c r="H9" i="2"/>
  <c r="F9" i="2"/>
  <c r="E9" i="2"/>
  <c r="F8" i="2"/>
  <c r="H8" i="2" s="1"/>
  <c r="E8" i="2"/>
  <c r="I7" i="2"/>
  <c r="H7" i="2"/>
  <c r="F7" i="2"/>
  <c r="E7" i="2"/>
  <c r="I6" i="2"/>
  <c r="H6" i="2"/>
  <c r="F6" i="2"/>
  <c r="E6" i="2"/>
  <c r="F5" i="2"/>
  <c r="H5" i="2" s="1"/>
  <c r="E5" i="2"/>
  <c r="E17" i="3" l="1"/>
  <c r="G5" i="3"/>
  <c r="G17" i="3" s="1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H11" i="2"/>
  <c r="I5" i="2"/>
  <c r="I8" i="2"/>
  <c r="I14" i="2"/>
  <c r="F22" i="3"/>
  <c r="F25" i="3"/>
  <c r="F28" i="3"/>
  <c r="F31" i="3"/>
  <c r="F38" i="3"/>
  <c r="F23" i="2"/>
  <c r="F26" i="2"/>
  <c r="F29" i="2"/>
  <c r="F32" i="2"/>
  <c r="G23" i="3"/>
  <c r="G26" i="3"/>
  <c r="G29" i="3"/>
  <c r="G32" i="3"/>
  <c r="I48" i="2"/>
  <c r="K6" i="3" l="1"/>
  <c r="K5" i="3"/>
  <c r="I5" i="4"/>
</calcChain>
</file>

<file path=xl/sharedStrings.xml><?xml version="1.0" encoding="utf-8"?>
<sst xmlns="http://schemas.openxmlformats.org/spreadsheetml/2006/main" count="265" uniqueCount="169">
  <si>
    <t>📋  BASE DE DADOS — COLABORADORES</t>
  </si>
  <si>
    <t>Data</t>
  </si>
  <si>
    <t>ID Colaborador</t>
  </si>
  <si>
    <t>Nome</t>
  </si>
  <si>
    <t>Departamento</t>
  </si>
  <si>
    <t>Cargo</t>
  </si>
  <si>
    <t>Salário (R$)</t>
  </si>
  <si>
    <t>Status</t>
  </si>
  <si>
    <t>Motivo Saída</t>
  </si>
  <si>
    <t>Dias Afastamento</t>
  </si>
  <si>
    <t>Pontuação eNPS</t>
  </si>
  <si>
    <t>Horas Trabalhadas</t>
  </si>
  <si>
    <t>Horas Ausentes</t>
  </si>
  <si>
    <t>Data Admissão</t>
  </si>
  <si>
    <t>Data Desligamento</t>
  </si>
  <si>
    <t>Treinamentos (R$)</t>
  </si>
  <si>
    <t>COL-001</t>
  </si>
  <si>
    <t>Colaborador 1</t>
  </si>
  <si>
    <t>Operações</t>
  </si>
  <si>
    <t>Coordenador</t>
  </si>
  <si>
    <t>Ativo</t>
  </si>
  <si>
    <t>COL-002</t>
  </si>
  <si>
    <t>Colaborador 2</t>
  </si>
  <si>
    <t>RH</t>
  </si>
  <si>
    <t>Gerente</t>
  </si>
  <si>
    <t>COL-003</t>
  </si>
  <si>
    <t>Colaborador 3</t>
  </si>
  <si>
    <t>Financeiro</t>
  </si>
  <si>
    <t>Especialista</t>
  </si>
  <si>
    <t>COL-004</t>
  </si>
  <si>
    <t>Colaborador 4</t>
  </si>
  <si>
    <t>Tecnologia</t>
  </si>
  <si>
    <t>Assistente</t>
  </si>
  <si>
    <t>COL-005</t>
  </si>
  <si>
    <t>Colaborador 5</t>
  </si>
  <si>
    <t>Marketing</t>
  </si>
  <si>
    <t>Supervisor</t>
  </si>
  <si>
    <t>COL-006</t>
  </si>
  <si>
    <t>Colaborador 6</t>
  </si>
  <si>
    <t>Logística</t>
  </si>
  <si>
    <t>Analista</t>
  </si>
  <si>
    <t>COL-007</t>
  </si>
  <si>
    <t>Colaborador 7</t>
  </si>
  <si>
    <t>Comercial</t>
  </si>
  <si>
    <t>COL-008</t>
  </si>
  <si>
    <t>Colaborador 8</t>
  </si>
  <si>
    <t>COL-009</t>
  </si>
  <si>
    <t>Colaborador 9</t>
  </si>
  <si>
    <t>COL-010</t>
  </si>
  <si>
    <t>Colaborador 10</t>
  </si>
  <si>
    <t>COL-011</t>
  </si>
  <si>
    <t>Colaborador 11</t>
  </si>
  <si>
    <t>COL-012</t>
  </si>
  <si>
    <t>Colaborador 12</t>
  </si>
  <si>
    <t>COL-013</t>
  </si>
  <si>
    <t>Colaborador 13</t>
  </si>
  <si>
    <t>COL-014</t>
  </si>
  <si>
    <t>Colaborador 14</t>
  </si>
  <si>
    <t>COL-015</t>
  </si>
  <si>
    <t>Colaborador 15</t>
  </si>
  <si>
    <t>COL-016</t>
  </si>
  <si>
    <t>Colaborador 16</t>
  </si>
  <si>
    <t>COL-017</t>
  </si>
  <si>
    <t>Colaborador 17</t>
  </si>
  <si>
    <t>COL-018</t>
  </si>
  <si>
    <t>Colaborador 18</t>
  </si>
  <si>
    <t>COL-019</t>
  </si>
  <si>
    <t>Colaborador 19</t>
  </si>
  <si>
    <t>COL-020</t>
  </si>
  <si>
    <t>Colaborador 20</t>
  </si>
  <si>
    <t>COL-021</t>
  </si>
  <si>
    <t>Colaborador 21</t>
  </si>
  <si>
    <t>COL-022</t>
  </si>
  <si>
    <t>Colaborador 22</t>
  </si>
  <si>
    <t>COL-023</t>
  </si>
  <si>
    <t>Colaborador 23</t>
  </si>
  <si>
    <t>COL-024</t>
  </si>
  <si>
    <t>Colaborador 24</t>
  </si>
  <si>
    <t>COL-025</t>
  </si>
  <si>
    <t>Colaborador 25</t>
  </si>
  <si>
    <t>Desligado</t>
  </si>
  <si>
    <t>Involuntário</t>
  </si>
  <si>
    <t>COL-026</t>
  </si>
  <si>
    <t>Colaborador 26</t>
  </si>
  <si>
    <t>Aposentadoria</t>
  </si>
  <si>
    <t>COL-027</t>
  </si>
  <si>
    <t>Colaborador 27</t>
  </si>
  <si>
    <t>Voluntário</t>
  </si>
  <si>
    <t>COL-028</t>
  </si>
  <si>
    <t>Colaborador 28</t>
  </si>
  <si>
    <t>COL-029</t>
  </si>
  <si>
    <t>Colaborador 29</t>
  </si>
  <si>
    <t>COL-030</t>
  </si>
  <si>
    <t>Colaborador 30</t>
  </si>
  <si>
    <t>📊  INDICADORES CRÍTICOS DE RH</t>
  </si>
  <si>
    <t>🔴  TURNOVER MENSAL</t>
  </si>
  <si>
    <t>Mês</t>
  </si>
  <si>
    <t>Ativos (início)</t>
  </si>
  <si>
    <t>Admissões</t>
  </si>
  <si>
    <t>Demissões</t>
  </si>
  <si>
    <t>Média Período</t>
  </si>
  <si>
    <t>Turnover (%)</t>
  </si>
  <si>
    <t>Benchmark (%)</t>
  </si>
  <si>
    <t>Δ (p.p.)</t>
  </si>
  <si>
    <t>🟡  ABSENTEÍSMO INDUSTRIAL</t>
  </si>
  <si>
    <t>Taxa (%)</t>
  </si>
  <si>
    <t>Δ vs Benchmark</t>
  </si>
  <si>
    <t>Custo Est. (R$)</t>
  </si>
  <si>
    <t>🟢  eNPS — ENGAJAMENTO</t>
  </si>
  <si>
    <t>Total Resp.</t>
  </si>
  <si>
    <t>Promotores</t>
  </si>
  <si>
    <t>Neutros</t>
  </si>
  <si>
    <t>Detratores</t>
  </si>
  <si>
    <t>% Promotores</t>
  </si>
  <si>
    <t>% Detratores</t>
  </si>
  <si>
    <t>eNPS</t>
  </si>
  <si>
    <t>Classificação</t>
  </si>
  <si>
    <t>💰  IMPACTO FINANCEIRO DO CAPITAL HUMANO — EBITDA</t>
  </si>
  <si>
    <t>💸  CUSTO DE ATTRITION</t>
  </si>
  <si>
    <t>🎯  PAINEL EBITDA</t>
  </si>
  <si>
    <t>Nº Demissões</t>
  </si>
  <si>
    <t>Salário Médio (R$)</t>
  </si>
  <si>
    <t>Custo Unit. (1,5×sal.anual)</t>
  </si>
  <si>
    <t>Custo Total Mensal (R$)</t>
  </si>
  <si>
    <t>Custo Acumulado (R$)</t>
  </si>
  <si>
    <t>Impacto EBITDA (%)</t>
  </si>
  <si>
    <t>EBITDA Mensal (R$)</t>
  </si>
  <si>
    <t>EBITDA Mensal Médio</t>
  </si>
  <si>
    <t>Custo Attrition Total Ano</t>
  </si>
  <si>
    <t>% EBITDA consumido (Attrition)</t>
  </si>
  <si>
    <t>Receita média por FTE</t>
  </si>
  <si>
    <t>ROI médio Treinamento (%)</t>
  </si>
  <si>
    <t>Invest. total Treinamento</t>
  </si>
  <si>
    <t>Ganho total Produtividade</t>
  </si>
  <si>
    <t>TOTAL ANO</t>
  </si>
  <si>
    <t>📈  FTE PRODUCTIVITY — RECEITA POR COLABORADOR</t>
  </si>
  <si>
    <t>Receita Total (R$)</t>
  </si>
  <si>
    <t>Total FTEs</t>
  </si>
  <si>
    <t>Receita por FTE (R$)</t>
  </si>
  <si>
    <t>Meta por FTE (R$)</t>
  </si>
  <si>
    <t>Δ vs Meta (R$)</t>
  </si>
  <si>
    <t>Δ vs Meta (%)</t>
  </si>
  <si>
    <t>🎓  ROI DE TREINAMENTO</t>
  </si>
  <si>
    <t>Investimento (R$)</t>
  </si>
  <si>
    <t>Ganho Produtividade (R$)</t>
  </si>
  <si>
    <t>ROI (%)</t>
  </si>
  <si>
    <t>Payback (meses)</t>
  </si>
  <si>
    <t>Status ROI</t>
  </si>
  <si>
    <t>🎯  DASHBOARD EXECUTIVO — CAPITAL HUMANO &amp; EBITDA</t>
  </si>
  <si>
    <t>Visão Consolidada | Atualização mensal | Fonte: Dados Brutos + Indicadores + Financeiro</t>
  </si>
  <si>
    <t>TURNOVER ANUAL (%)</t>
  </si>
  <si>
    <t>eNPS ATUAL (pts)</t>
  </si>
  <si>
    <t>ABSENTEÍSMO MÉDIO (%)</t>
  </si>
  <si>
    <t>CUSTO ATTRITION/ANO</t>
  </si>
  <si>
    <t>FTE PRODUCTIVITY MÉD.</t>
  </si>
  <si>
    <t>ROI TREINAMENTO MÉD. (%)</t>
  </si>
  <si>
    <t>────────────────────  GRÁFICOS  ────────────────────</t>
  </si>
  <si>
    <t>GRÁFICO 1 — VELOCÍMETRO: TURNOVER vs. BENCHMARK</t>
  </si>
  <si>
    <t>GRÁFICO 2 — CUSTO FINANCEIRO DO TURNOVER ACUMULADO</t>
  </si>
  <si>
    <t>GRÁFICO 3 — CORRELAÇÃO: eNPS vs. PRODUTIVIDADE</t>
  </si>
  <si>
    <t>GRÁFICO 4 — MATRIZ DE SUCESSÃO: POSIÇÕES CRÍTICAS</t>
  </si>
  <si>
    <t>📌  TABELA — MATRIZ DE SUCESSÃO (preencha manualmente)</t>
  </si>
  <si>
    <t>Área</t>
  </si>
  <si>
    <t>Posições Críticas</t>
  </si>
  <si>
    <t>Com Sucessor</t>
  </si>
  <si>
    <t>Em Desenvolvimento</t>
  </si>
  <si>
    <t>Sem Sucessor</t>
  </si>
  <si>
    <t>% Cobertura</t>
  </si>
  <si>
    <t>⚠️  Uso restrito ao Board Executivo | Dados atualizados mensalmente | Fórmulas automáticas vinculadas às abas internas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</si>
</sst>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R\$\ #,##0.00"/>
    <numFmt numFmtId="165" formatCode="mmm/d"/>
    <numFmt numFmtId="166" formatCode="0.0"/>
    <numFmt numFmtId="167" formatCode="\R\$\ #,##0"/>
  </numFmts>
  <fonts count="15" x14ac:knownFonts="1">
    <font>
      <sz val="10"/>
      <color rgb="FF000000"/>
      <name val="Arial"/>
      <scheme val="minor"/>
    </font>
    <font>
      <b/>
      <sz val="13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rgb="FF333333"/>
      <name val="Arial"/>
      <scheme val="minor"/>
    </font>
    <font>
      <b/>
      <sz val="11"/>
      <color rgb="FFFFFFFF"/>
      <name val="Arial"/>
      <scheme val="minor"/>
    </font>
    <font>
      <b/>
      <sz val="9"/>
      <color rgb="FFFFFFFF"/>
      <name val="Arial"/>
      <scheme val="minor"/>
    </font>
    <font>
      <b/>
      <sz val="9"/>
      <color rgb="FF333333"/>
      <name val="Arial"/>
      <scheme val="minor"/>
    </font>
    <font>
      <b/>
      <sz val="12"/>
      <color rgb="FFFFFFFF"/>
      <name val="Arial"/>
      <scheme val="minor"/>
    </font>
    <font>
      <b/>
      <sz val="10"/>
      <color rgb="FFFFFFFF"/>
      <name val="Arial"/>
      <scheme val="minor"/>
    </font>
    <font>
      <b/>
      <sz val="15"/>
      <color rgb="FFFFFFFF"/>
      <name val="Arial"/>
      <scheme val="minor"/>
    </font>
    <font>
      <i/>
      <sz val="9"/>
      <color rgb="FFFFFFFF"/>
      <name val="Arial"/>
      <scheme val="minor"/>
    </font>
    <font>
      <b/>
      <sz val="18"/>
      <color rgb="FFFFFFFF"/>
      <name val="Arial"/>
      <scheme val="minor"/>
    </font>
    <font>
      <sz val="9"/>
      <color rgb="FF6B7280"/>
      <name val="Arial"/>
      <scheme val="minor"/>
    </font>
    <font>
      <b/>
      <sz val="10"/>
      <color rgb="FF333333"/>
      <name val="Arial"/>
      <scheme val="minor"/>
    </font>
    <font>
      <i/>
      <sz val="8"/>
      <color rgb="FFFFFFFF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F4F5F7"/>
        <bgColor rgb="FFF4F5F7"/>
      </patternFill>
    </fill>
    <fill>
      <patternFill patternType="solid">
        <fgColor rgb="FFD97A4A"/>
        <bgColor rgb="FFD97A4A"/>
      </patternFill>
    </fill>
    <fill>
      <patternFill patternType="solid">
        <fgColor rgb="FFF39C12"/>
        <bgColor rgb="FFF39C12"/>
      </patternFill>
    </fill>
    <fill>
      <patternFill patternType="solid">
        <fgColor rgb="FF3DA57A"/>
        <bgColor rgb="FF3DA57A"/>
      </patternFill>
    </fill>
    <fill>
      <patternFill patternType="solid">
        <fgColor rgb="FFC0392B"/>
        <b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4" fontId="3" fillId="4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4" fontId="3" fillId="5" borderId="0" xfId="0" applyNumberFormat="1" applyFont="1" applyFill="1"/>
    <xf numFmtId="0" fontId="3" fillId="5" borderId="0" xfId="0" applyFont="1" applyFill="1"/>
    <xf numFmtId="164" fontId="3" fillId="5" borderId="0" xfId="0" applyNumberFormat="1" applyFont="1" applyFill="1"/>
    <xf numFmtId="0" fontId="5" fillId="3" borderId="0" xfId="0" applyFont="1" applyFill="1" applyAlignment="1">
      <alignment horizontal="center" vertical="center" wrapText="1"/>
    </xf>
    <xf numFmtId="165" fontId="3" fillId="4" borderId="0" xfId="0" applyNumberFormat="1" applyFont="1" applyFill="1"/>
    <xf numFmtId="2" fontId="3" fillId="4" borderId="0" xfId="0" applyNumberFormat="1" applyFont="1" applyFill="1"/>
    <xf numFmtId="165" fontId="3" fillId="5" borderId="0" xfId="0" applyNumberFormat="1" applyFont="1" applyFill="1"/>
    <xf numFmtId="2" fontId="3" fillId="5" borderId="0" xfId="0" applyNumberFormat="1" applyFont="1" applyFill="1"/>
    <xf numFmtId="166" fontId="3" fillId="4" borderId="0" xfId="0" applyNumberFormat="1" applyFont="1" applyFill="1"/>
    <xf numFmtId="166" fontId="3" fillId="5" borderId="0" xfId="0" applyNumberFormat="1" applyFont="1" applyFill="1"/>
    <xf numFmtId="0" fontId="4" fillId="2" borderId="0" xfId="0" applyFont="1" applyFill="1"/>
    <xf numFmtId="0" fontId="6" fillId="5" borderId="0" xfId="0" applyFont="1" applyFill="1" applyAlignment="1">
      <alignment wrapText="1"/>
    </xf>
    <xf numFmtId="164" fontId="7" fillId="2" borderId="0" xfId="0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8" fillId="2" borderId="0" xfId="0" applyFont="1" applyFill="1"/>
    <xf numFmtId="164" fontId="8" fillId="2" borderId="0" xfId="0" applyNumberFormat="1" applyFont="1" applyFill="1"/>
    <xf numFmtId="2" fontId="8" fillId="2" borderId="0" xfId="0" applyNumberFormat="1" applyFont="1" applyFill="1"/>
    <xf numFmtId="0" fontId="12" fillId="5" borderId="0" xfId="0" applyFont="1" applyFill="1" applyAlignment="1">
      <alignment wrapText="1"/>
    </xf>
    <xf numFmtId="0" fontId="12" fillId="4" borderId="0" xfId="0" applyFont="1" applyFill="1" applyAlignment="1">
      <alignment wrapText="1"/>
    </xf>
    <xf numFmtId="0" fontId="12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11" fillId="9" borderId="0" xfId="0" applyNumberFormat="1" applyFont="1" applyFill="1" applyAlignment="1">
      <alignment horizontal="center" vertical="center"/>
    </xf>
    <xf numFmtId="166" fontId="11" fillId="8" borderId="0" xfId="0" applyNumberFormat="1" applyFont="1" applyFill="1" applyAlignment="1">
      <alignment horizontal="center" vertical="center"/>
    </xf>
    <xf numFmtId="2" fontId="11" fillId="7" borderId="0" xfId="0" applyNumberFormat="1" applyFont="1" applyFill="1" applyAlignment="1">
      <alignment horizontal="center" vertical="center"/>
    </xf>
    <xf numFmtId="167" fontId="11" fillId="9" borderId="0" xfId="0" applyNumberFormat="1" applyFont="1" applyFill="1" applyAlignment="1">
      <alignment horizontal="center" vertical="center"/>
    </xf>
    <xf numFmtId="167" fontId="11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C0392B"/>
      </font>
      <fill>
        <patternFill patternType="solid">
          <fgColor rgb="FFFADBD8"/>
          <bgColor rgb="FFFADBD8"/>
        </patternFill>
      </fill>
    </dxf>
    <dxf>
      <font>
        <b/>
        <color rgb="FFF39C12"/>
      </font>
      <fill>
        <patternFill patternType="solid">
          <fgColor rgb="FFFDEBD0"/>
          <bgColor rgb="FFFDEBD0"/>
        </patternFill>
      </fill>
    </dxf>
    <dxf>
      <font>
        <b/>
        <color rgb="FF3DA57A"/>
      </font>
      <fill>
        <patternFill patternType="solid">
          <fgColor rgb="FFD5F5E3"/>
          <bgColor rgb="FFD5F5E3"/>
        </patternFill>
      </fill>
    </dxf>
    <dxf>
      <font>
        <b/>
        <color rgb="FFC0392B"/>
      </font>
      <fill>
        <patternFill patternType="solid">
          <fgColor rgb="FFFDEBD0"/>
          <bgColor rgb="FFFDEBD0"/>
        </patternFill>
      </fill>
    </dxf>
    <dxf>
      <font>
        <b/>
        <color rgb="FF3DA57A"/>
      </font>
      <fill>
        <patternFill patternType="solid">
          <fgColor rgb="FFD5F5E3"/>
          <bgColor rgb="FFD5F5E3"/>
        </patternFill>
      </fill>
    </dxf>
    <dxf>
      <font>
        <b/>
        <color rgb="FFC0392B"/>
      </font>
      <fill>
        <patternFill patternType="solid">
          <fgColor rgb="FFFADBD8"/>
          <bgColor rgb="FFFADBD8"/>
        </patternFill>
      </fill>
    </dxf>
    <dxf>
      <font>
        <b/>
        <color rgb="FF3DA57A"/>
      </font>
      <fill>
        <patternFill patternType="solid">
          <fgColor rgb="FFD5F5E3"/>
          <bgColor rgb="FFD5F5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'📊 Indicadores Críticos'!$F$3:$F$4</c:f>
              <c:strCache>
                <c:ptCount val="2"/>
                <c:pt idx="0">
                  <c:v>🔴  TURNOVER MENSAL</c:v>
                </c:pt>
                <c:pt idx="1">
                  <c:v>Turnover (%)</c:v>
                </c:pt>
              </c:strCache>
            </c:strRef>
          </c:tx>
          <c:spPr>
            <a:solidFill>
              <a:srgbClr val="C0392B"/>
            </a:solidFill>
            <a:ln cmpd="sng">
              <a:solidFill>
                <a:srgbClr val="C0392B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744-483F-A9A5-A27E45A9F259}"/>
              </c:ext>
            </c:extLst>
          </c:dPt>
          <c:cat>
            <c:numRef>
              <c:f>'📊 Indicadores Críticos'!$A$5:$A$16</c:f>
              <c:numCache>
                <c:formatCode>mmm/d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'📊 Indicadores Críticos'!$F$5:$F$16</c:f>
              <c:numCache>
                <c:formatCode>0.00</c:formatCode>
                <c:ptCount val="12"/>
                <c:pt idx="0">
                  <c:v>2.083333333333333</c:v>
                </c:pt>
                <c:pt idx="1">
                  <c:v>2.459016393442623</c:v>
                </c:pt>
                <c:pt idx="2">
                  <c:v>2.5</c:v>
                </c:pt>
                <c:pt idx="3">
                  <c:v>1.6129032258064515</c:v>
                </c:pt>
                <c:pt idx="4">
                  <c:v>2.459016393442623</c:v>
                </c:pt>
                <c:pt idx="5">
                  <c:v>3.225806451612903</c:v>
                </c:pt>
                <c:pt idx="6">
                  <c:v>1.639344262295082</c:v>
                </c:pt>
                <c:pt idx="7">
                  <c:v>2.459016393442623</c:v>
                </c:pt>
                <c:pt idx="8">
                  <c:v>2.0491803278688523</c:v>
                </c:pt>
                <c:pt idx="9">
                  <c:v>2.4</c:v>
                </c:pt>
                <c:pt idx="10">
                  <c:v>2.0325203252032518</c:v>
                </c:pt>
                <c:pt idx="11">
                  <c:v>1.6129032258064515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C0392B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744-483F-A9A5-A27E45A9F259}"/>
            </c:ext>
          </c:extLst>
        </c:ser>
        <c:ser>
          <c:idx val="1"/>
          <c:order val="1"/>
          <c:tx>
            <c:strRef>
              <c:f>'📊 Indicadores Críticos'!$G$3:$G$4</c:f>
              <c:strCache>
                <c:ptCount val="2"/>
                <c:pt idx="0">
                  <c:v>🔴  TURNOVER MENSAL</c:v>
                </c:pt>
                <c:pt idx="1">
                  <c:v>Benchmark (%)</c:v>
                </c:pt>
              </c:strCache>
            </c:strRef>
          </c:tx>
          <c:spPr>
            <a:solidFill>
              <a:srgbClr val="3DA57A"/>
            </a:solidFill>
            <a:ln cmpd="sng">
              <a:solidFill>
                <a:srgbClr val="3DA57A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DA57A"/>
              </a:solidFill>
              <a:ln cmpd="sng">
                <a:solidFill>
                  <a:srgbClr val="3DA57A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744-483F-A9A5-A27E45A9F25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6744-483F-A9A5-A27E45A9F259}"/>
              </c:ext>
            </c:extLst>
          </c:dPt>
          <c:cat>
            <c:numRef>
              <c:f>'📊 Indicadores Críticos'!$A$5:$A$16</c:f>
              <c:numCache>
                <c:formatCode>mmm/d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'📊 Indicadores Críticos'!$G$5:$G$16</c:f>
              <c:numCache>
                <c:formatCode>0.00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3DA57A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744-483F-A9A5-A27E45A9F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8433331"/>
        <c:axId val="1803833583"/>
      </c:barChart>
      <c:dateAx>
        <c:axId val="14984333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mmm/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03833583"/>
        <c:crosses val="autoZero"/>
        <c:auto val="1"/>
        <c:lblOffset val="100"/>
        <c:baseTimeUnit val="months"/>
      </c:dateAx>
      <c:valAx>
        <c:axId val="18038335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843333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'💰 Financeiro &amp; EBITDA'!$E$3:$E$4</c:f>
              <c:strCache>
                <c:ptCount val="2"/>
                <c:pt idx="0">
                  <c:v>💸  CUSTO DE ATTRITION</c:v>
                </c:pt>
                <c:pt idx="1">
                  <c:v>Custo Total Mensal (R$)</c:v>
                </c:pt>
              </c:strCache>
            </c:strRef>
          </c:tx>
          <c:spPr>
            <a:solidFill>
              <a:srgbClr val="D97A4A"/>
            </a:solidFill>
            <a:ln cmpd="sng">
              <a:solidFill>
                <a:srgbClr val="D97A4A">
                  <a:alpha val="100000"/>
                </a:srgbClr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0E9-44EF-BC70-74D30E10C8EB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0E9-44EF-BC70-74D30E10C8EB}"/>
              </c:ext>
            </c:extLst>
          </c:dPt>
          <c:cat>
            <c:numRef>
              <c:f>'💰 Financeiro &amp; EBITDA'!$A$5:$A$16</c:f>
              <c:numCache>
                <c:formatCode>mmm/d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'💰 Financeiro &amp; EBITDA'!$E$5:$E$16</c:f>
              <c:numCache>
                <c:formatCode>\R\$\ #,##0.00</c:formatCode>
                <c:ptCount val="12"/>
                <c:pt idx="0">
                  <c:v>306000</c:v>
                </c:pt>
                <c:pt idx="1">
                  <c:v>612000</c:v>
                </c:pt>
                <c:pt idx="2">
                  <c:v>153000</c:v>
                </c:pt>
                <c:pt idx="3">
                  <c:v>459000</c:v>
                </c:pt>
                <c:pt idx="4">
                  <c:v>306000</c:v>
                </c:pt>
                <c:pt idx="5">
                  <c:v>765000</c:v>
                </c:pt>
                <c:pt idx="6">
                  <c:v>306000</c:v>
                </c:pt>
                <c:pt idx="7">
                  <c:v>459000</c:v>
                </c:pt>
                <c:pt idx="8">
                  <c:v>153000</c:v>
                </c:pt>
                <c:pt idx="9">
                  <c:v>612000</c:v>
                </c:pt>
                <c:pt idx="10">
                  <c:v>306000</c:v>
                </c:pt>
                <c:pt idx="11">
                  <c:v>459000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D97A4A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0E9-44EF-BC70-74D30E10C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4523342"/>
        <c:axId val="1991209625"/>
      </c:barChart>
      <c:lineChart>
        <c:grouping val="standard"/>
        <c:varyColors val="0"/>
        <c:ser>
          <c:idx val="1"/>
          <c:order val="1"/>
          <c:tx>
            <c:strRef>
              <c:f>'💰 Financeiro &amp; EBITDA'!$F$3:$F$4</c:f>
              <c:strCache>
                <c:ptCount val="2"/>
                <c:pt idx="0">
                  <c:v>💸  CUSTO DE ATTRITION</c:v>
                </c:pt>
                <c:pt idx="1">
                  <c:v>Custo Acumulado (R$)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'💰 Financeiro &amp; EBITDA'!$A$5:$A$16</c:f>
              <c:numCache>
                <c:formatCode>mmm/d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'💰 Financeiro &amp; EBITDA'!$F$5:$F$16</c:f>
              <c:numCache>
                <c:formatCode>\R\$\ #,##0.00</c:formatCode>
                <c:ptCount val="12"/>
                <c:pt idx="0">
                  <c:v>306000</c:v>
                </c:pt>
                <c:pt idx="1">
                  <c:v>918000</c:v>
                </c:pt>
                <c:pt idx="2">
                  <c:v>1071000</c:v>
                </c:pt>
                <c:pt idx="3">
                  <c:v>1530000</c:v>
                </c:pt>
                <c:pt idx="4">
                  <c:v>1836000</c:v>
                </c:pt>
                <c:pt idx="5">
                  <c:v>2601000</c:v>
                </c:pt>
                <c:pt idx="6">
                  <c:v>2907000</c:v>
                </c:pt>
                <c:pt idx="7">
                  <c:v>3366000</c:v>
                </c:pt>
                <c:pt idx="8">
                  <c:v>3519000</c:v>
                </c:pt>
                <c:pt idx="9">
                  <c:v>4131000</c:v>
                </c:pt>
                <c:pt idx="10">
                  <c:v>4437000</c:v>
                </c:pt>
                <c:pt idx="11">
                  <c:v>4896000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9-44EF-BC70-74D30E10C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523342"/>
        <c:axId val="1991209625"/>
      </c:lineChart>
      <c:dateAx>
        <c:axId val="1784523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mmm/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91209625"/>
        <c:crosses val="autoZero"/>
        <c:auto val="1"/>
        <c:lblOffset val="100"/>
        <c:baseTimeUnit val="months"/>
      </c:dateAx>
      <c:valAx>
        <c:axId val="1991209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\R\$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845233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3DA57A"/>
            </a:solidFill>
            <a:ln cmpd="sng">
              <a:solidFill>
                <a:srgbClr val="3DA57A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AB2-4373-AA19-A6B435B4FCA3}"/>
              </c:ext>
            </c:extLst>
          </c:dPt>
          <c:cat>
            <c:numRef>
              <c:f>'📊 Indicadores Críticos'!$H$37:$H$48</c:f>
              <c:numCache>
                <c:formatCode>0.0</c:formatCode>
                <c:ptCount val="12"/>
                <c:pt idx="0">
                  <c:v>34.117647058823529</c:v>
                </c:pt>
                <c:pt idx="1">
                  <c:v>35.227272727272727</c:v>
                </c:pt>
                <c:pt idx="2">
                  <c:v>27.777777777777779</c:v>
                </c:pt>
                <c:pt idx="3">
                  <c:v>43.678160919540232</c:v>
                </c:pt>
                <c:pt idx="4">
                  <c:v>46.739130434782609</c:v>
                </c:pt>
                <c:pt idx="5">
                  <c:v>41.05263157894737</c:v>
                </c:pt>
                <c:pt idx="6">
                  <c:v>40.909090909090907</c:v>
                </c:pt>
                <c:pt idx="7">
                  <c:v>40.659340659340664</c:v>
                </c:pt>
                <c:pt idx="8">
                  <c:v>37.078651685393261</c:v>
                </c:pt>
                <c:pt idx="9">
                  <c:v>47.311827956989248</c:v>
                </c:pt>
                <c:pt idx="10">
                  <c:v>46.875</c:v>
                </c:pt>
                <c:pt idx="11">
                  <c:v>46.808510638297875</c:v>
                </c:pt>
              </c:numCache>
            </c:numRef>
          </c:cat>
          <c:val>
            <c:numRef>
              <c:f>'💰 Financeiro &amp; EBITDA'!$D$21:$D$32</c:f>
              <c:numCache>
                <c:formatCode>\R\$\ #,##0.00</c:formatCode>
                <c:ptCount val="12"/>
                <c:pt idx="0">
                  <c:v>9836.065573770491</c:v>
                </c:pt>
                <c:pt idx="1">
                  <c:v>9583.3333333333339</c:v>
                </c:pt>
                <c:pt idx="2">
                  <c:v>10483.870967741936</c:v>
                </c:pt>
                <c:pt idx="3">
                  <c:v>9672.1311475409839</c:v>
                </c:pt>
                <c:pt idx="4">
                  <c:v>10800</c:v>
                </c:pt>
                <c:pt idx="5">
                  <c:v>10406.50406504065</c:v>
                </c:pt>
                <c:pt idx="6">
                  <c:v>10737.704918032787</c:v>
                </c:pt>
                <c:pt idx="7">
                  <c:v>10573.77049180328</c:v>
                </c:pt>
                <c:pt idx="8">
                  <c:v>11475.409836065573</c:v>
                </c:pt>
                <c:pt idx="9">
                  <c:v>10560</c:v>
                </c:pt>
                <c:pt idx="10">
                  <c:v>11219.512195121952</c:v>
                </c:pt>
                <c:pt idx="11">
                  <c:v>11693.548387096775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3DA57A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B2-4373-AA19-A6B435B4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014952"/>
        <c:axId val="323500808"/>
      </c:barChart>
      <c:lineChart>
        <c:grouping val="standard"/>
        <c:varyColors val="0"/>
        <c:ser>
          <c:idx val="1"/>
          <c:order val="1"/>
          <c:spPr>
            <a:ln cmpd="sng">
              <a:solidFill>
                <a:srgbClr val="C0392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'📊 Indicadores Críticos'!$H$37:$H$48</c:f>
              <c:numCache>
                <c:formatCode>0.0</c:formatCode>
                <c:ptCount val="12"/>
                <c:pt idx="0">
                  <c:v>34.117647058823529</c:v>
                </c:pt>
                <c:pt idx="1">
                  <c:v>35.227272727272727</c:v>
                </c:pt>
                <c:pt idx="2">
                  <c:v>27.777777777777779</c:v>
                </c:pt>
                <c:pt idx="3">
                  <c:v>43.678160919540232</c:v>
                </c:pt>
                <c:pt idx="4">
                  <c:v>46.739130434782609</c:v>
                </c:pt>
                <c:pt idx="5">
                  <c:v>41.05263157894737</c:v>
                </c:pt>
                <c:pt idx="6">
                  <c:v>40.909090909090907</c:v>
                </c:pt>
                <c:pt idx="7">
                  <c:v>40.659340659340664</c:v>
                </c:pt>
                <c:pt idx="8">
                  <c:v>37.078651685393261</c:v>
                </c:pt>
                <c:pt idx="9">
                  <c:v>47.311827956989248</c:v>
                </c:pt>
                <c:pt idx="10">
                  <c:v>46.875</c:v>
                </c:pt>
                <c:pt idx="11">
                  <c:v>46.808510638297875</c:v>
                </c:pt>
              </c:numCache>
            </c:numRef>
          </c:cat>
          <c:val>
            <c:numRef>
              <c:f>'💰 Financeiro &amp; EBITDA'!$D$21:$D$32</c:f>
              <c:numCache>
                <c:formatCode>\R\$\ #,##0.00</c:formatCode>
                <c:ptCount val="12"/>
                <c:pt idx="0">
                  <c:v>9836.065573770491</c:v>
                </c:pt>
                <c:pt idx="1">
                  <c:v>9583.3333333333339</c:v>
                </c:pt>
                <c:pt idx="2">
                  <c:v>10483.870967741936</c:v>
                </c:pt>
                <c:pt idx="3">
                  <c:v>9672.1311475409839</c:v>
                </c:pt>
                <c:pt idx="4">
                  <c:v>10800</c:v>
                </c:pt>
                <c:pt idx="5">
                  <c:v>10406.50406504065</c:v>
                </c:pt>
                <c:pt idx="6">
                  <c:v>10737.704918032787</c:v>
                </c:pt>
                <c:pt idx="7">
                  <c:v>10573.77049180328</c:v>
                </c:pt>
                <c:pt idx="8">
                  <c:v>11475.409836065573</c:v>
                </c:pt>
                <c:pt idx="9">
                  <c:v>10560</c:v>
                </c:pt>
                <c:pt idx="10">
                  <c:v>11219.512195121952</c:v>
                </c:pt>
                <c:pt idx="11">
                  <c:v>11693.548387096775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B2-4373-AA19-A6B435B4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14952"/>
        <c:axId val="323500808"/>
      </c:lineChart>
      <c:catAx>
        <c:axId val="201014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23500808"/>
        <c:crosses val="autoZero"/>
        <c:auto val="1"/>
        <c:lblAlgn val="ctr"/>
        <c:lblOffset val="100"/>
        <c:noMultiLvlLbl val="1"/>
      </c:catAx>
      <c:valAx>
        <c:axId val="323500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\R\$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10149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'🎯 Dashboard Executivo'!$C$32:$C$33</c:f>
              <c:strCache>
                <c:ptCount val="2"/>
                <c:pt idx="0">
                  <c:v>📌  TABELA — MATRIZ DE SUCESSÃO (preencha manualmente)</c:v>
                </c:pt>
                <c:pt idx="1">
                  <c:v>Com Sucessor</c:v>
                </c:pt>
              </c:strCache>
            </c:strRef>
          </c:tx>
          <c:spPr>
            <a:solidFill>
              <a:srgbClr val="3DA57A"/>
            </a:solidFill>
            <a:ln cmpd="sng">
              <a:solidFill>
                <a:srgbClr val="3DA57A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AEC-4C87-96EC-BD76C6B54F2D}"/>
              </c:ext>
            </c:extLst>
          </c:dPt>
          <c:cat>
            <c:strRef>
              <c:f>'🎯 Dashboard Executivo'!$A$34:$A$39</c:f>
              <c:strCache>
                <c:ptCount val="6"/>
                <c:pt idx="0">
                  <c:v>Comercial</c:v>
                </c:pt>
                <c:pt idx="1">
                  <c:v>Operações</c:v>
                </c:pt>
                <c:pt idx="2">
                  <c:v>Tecnologia</c:v>
                </c:pt>
                <c:pt idx="3">
                  <c:v>RH</c:v>
                </c:pt>
                <c:pt idx="4">
                  <c:v>Financeiro</c:v>
                </c:pt>
                <c:pt idx="5">
                  <c:v>Logística</c:v>
                </c:pt>
              </c:strCache>
            </c:strRef>
          </c:cat>
          <c:val>
            <c:numRef>
              <c:f>'🎯 Dashboard Executivo'!$C$34:$C$39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3DA57A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EC-4C87-96EC-BD76C6B54F2D}"/>
            </c:ext>
          </c:extLst>
        </c:ser>
        <c:ser>
          <c:idx val="1"/>
          <c:order val="1"/>
          <c:tx>
            <c:strRef>
              <c:f>'🎯 Dashboard Executivo'!$D$32:$D$33</c:f>
              <c:strCache>
                <c:ptCount val="2"/>
                <c:pt idx="0">
                  <c:v>📌  TABELA — MATRIZ DE SUCESSÃO (preencha manualmente)</c:v>
                </c:pt>
                <c:pt idx="1">
                  <c:v>Em Desenvolvimento</c:v>
                </c:pt>
              </c:strCache>
            </c:strRef>
          </c:tx>
          <c:spPr>
            <a:solidFill>
              <a:srgbClr val="F39C12"/>
            </a:solidFill>
            <a:ln cmpd="sng">
              <a:solidFill>
                <a:srgbClr val="F39C12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AEC-4C87-96EC-BD76C6B54F2D}"/>
              </c:ext>
            </c:extLst>
          </c:dPt>
          <c:cat>
            <c:strRef>
              <c:f>'🎯 Dashboard Executivo'!$A$34:$A$39</c:f>
              <c:strCache>
                <c:ptCount val="6"/>
                <c:pt idx="0">
                  <c:v>Comercial</c:v>
                </c:pt>
                <c:pt idx="1">
                  <c:v>Operações</c:v>
                </c:pt>
                <c:pt idx="2">
                  <c:v>Tecnologia</c:v>
                </c:pt>
                <c:pt idx="3">
                  <c:v>RH</c:v>
                </c:pt>
                <c:pt idx="4">
                  <c:v>Financeiro</c:v>
                </c:pt>
                <c:pt idx="5">
                  <c:v>Logística</c:v>
                </c:pt>
              </c:strCache>
            </c:strRef>
          </c:cat>
          <c:val>
            <c:numRef>
              <c:f>'🎯 Dashboard Executivo'!$D$34:$D$39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F39C12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EC-4C87-96EC-BD76C6B54F2D}"/>
            </c:ext>
          </c:extLst>
        </c:ser>
        <c:ser>
          <c:idx val="2"/>
          <c:order val="2"/>
          <c:tx>
            <c:strRef>
              <c:f>'🎯 Dashboard Executivo'!$E$32:$E$33</c:f>
              <c:strCache>
                <c:ptCount val="2"/>
                <c:pt idx="0">
                  <c:v>📌  TABELA — MATRIZ DE SUCESSÃO (preencha manualmente)</c:v>
                </c:pt>
                <c:pt idx="1">
                  <c:v>Sem Sucessor</c:v>
                </c:pt>
              </c:strCache>
            </c:strRef>
          </c:tx>
          <c:spPr>
            <a:solidFill>
              <a:srgbClr val="C0392B"/>
            </a:solidFill>
            <a:ln cmpd="sng">
              <a:solidFill>
                <a:srgbClr val="C0392B">
                  <a:alpha val="100000"/>
                </a:srgbClr>
              </a:solidFill>
            </a:ln>
          </c:spPr>
          <c:invertIfNegative val="1"/>
          <c:cat>
            <c:strRef>
              <c:f>'🎯 Dashboard Executivo'!$A$34:$A$39</c:f>
              <c:strCache>
                <c:ptCount val="6"/>
                <c:pt idx="0">
                  <c:v>Comercial</c:v>
                </c:pt>
                <c:pt idx="1">
                  <c:v>Operações</c:v>
                </c:pt>
                <c:pt idx="2">
                  <c:v>Tecnologia</c:v>
                </c:pt>
                <c:pt idx="3">
                  <c:v>RH</c:v>
                </c:pt>
                <c:pt idx="4">
                  <c:v>Financeiro</c:v>
                </c:pt>
                <c:pt idx="5">
                  <c:v>Logística</c:v>
                </c:pt>
              </c:strCache>
            </c:strRef>
          </c:cat>
          <c:val>
            <c:numRef>
              <c:f>'🎯 Dashboard Executivo'!$E$34:$E$39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C0392B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AEC-4C87-96EC-BD76C6B54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43834"/>
        <c:axId val="970598737"/>
      </c:barChart>
      <c:catAx>
        <c:axId val="504043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70598737"/>
        <c:crosses val="autoZero"/>
        <c:auto val="1"/>
        <c:lblAlgn val="ctr"/>
        <c:lblOffset val="100"/>
        <c:noMultiLvlLbl val="1"/>
      </c:catAx>
      <c:valAx>
        <c:axId val="970598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0404383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285750</xdr:rowOff>
    </xdr:from>
    <xdr:ext cx="5543550" cy="35814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762000</xdr:colOff>
      <xdr:row>7</xdr:row>
      <xdr:rowOff>295275</xdr:rowOff>
    </xdr:from>
    <xdr:ext cx="5419725" cy="358140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285750</xdr:rowOff>
    </xdr:from>
    <xdr:ext cx="5543549" cy="356235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20</xdr:row>
      <xdr:rowOff>0</xdr:rowOff>
    </xdr:from>
    <xdr:ext cx="5381625" cy="3562350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outlinePr summaryBelow="0" summaryRight="0"/>
  </sheetPr>
  <dimension ref="A1:O32"/>
  <sheetViews>
    <sheetView showGridLines="0" workbookViewId="0">
      <pane ySplit="2" topLeftCell="A3" activePane="bottomLeft" state="frozen"/>
      <selection pane="bottomLeft" activeCell="G4" sqref="G4"/>
    </sheetView>
  </sheetViews>
  <sheetFormatPr defaultColWidth="12.5703125" defaultRowHeight="15.75" customHeight="1" x14ac:dyDescent="0.2"/>
  <cols>
    <col min="1" max="1" width="10.140625" bestFit="1" customWidth="1"/>
    <col min="2" max="2" width="12.28515625" bestFit="1" customWidth="1"/>
    <col min="3" max="3" width="13.5703125" bestFit="1" customWidth="1"/>
    <col min="4" max="4" width="14" customWidth="1"/>
    <col min="5" max="5" width="11.42578125" bestFit="1" customWidth="1"/>
    <col min="6" max="6" width="12" bestFit="1" customWidth="1"/>
    <col min="7" max="7" width="10" bestFit="1" customWidth="1"/>
    <col min="8" max="8" width="12.85546875" bestFit="1" customWidth="1"/>
    <col min="9" max="9" width="12.28515625" bestFit="1" customWidth="1"/>
    <col min="10" max="10" width="8.85546875" bestFit="1" customWidth="1"/>
    <col min="11" max="11" width="12.28515625" bestFit="1" customWidth="1"/>
    <col min="12" max="12" width="9.140625" bestFit="1" customWidth="1"/>
    <col min="13" max="13" width="10.140625" bestFit="1" customWidth="1"/>
    <col min="14" max="14" width="13.5703125" bestFit="1" customWidth="1"/>
    <col min="15" max="15" width="11.42578125" bestFit="1" customWidth="1"/>
  </cols>
  <sheetData>
    <row r="1" spans="1:15" ht="30" customHeigh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27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2.75" x14ac:dyDescent="0.2">
      <c r="A3" s="2">
        <v>45689</v>
      </c>
      <c r="B3" s="3" t="s">
        <v>16</v>
      </c>
      <c r="C3" s="3" t="s">
        <v>17</v>
      </c>
      <c r="D3" s="3" t="s">
        <v>18</v>
      </c>
      <c r="E3" s="3" t="s">
        <v>19</v>
      </c>
      <c r="F3" s="4">
        <v>4380</v>
      </c>
      <c r="G3" s="3" t="s">
        <v>20</v>
      </c>
      <c r="H3" s="3"/>
      <c r="I3" s="3">
        <v>0</v>
      </c>
      <c r="J3" s="3">
        <v>9</v>
      </c>
      <c r="K3" s="3">
        <v>176</v>
      </c>
      <c r="L3" s="3">
        <v>0</v>
      </c>
      <c r="M3" s="2">
        <v>44228</v>
      </c>
      <c r="N3" s="3"/>
      <c r="O3" s="4">
        <v>550</v>
      </c>
    </row>
    <row r="4" spans="1:15" ht="12.75" x14ac:dyDescent="0.2">
      <c r="A4" s="5">
        <v>45717</v>
      </c>
      <c r="B4" s="6" t="s">
        <v>21</v>
      </c>
      <c r="C4" s="6" t="s">
        <v>22</v>
      </c>
      <c r="D4" s="6" t="s">
        <v>23</v>
      </c>
      <c r="E4" s="6" t="s">
        <v>24</v>
      </c>
      <c r="F4" s="7">
        <v>4760</v>
      </c>
      <c r="G4" s="6" t="s">
        <v>20</v>
      </c>
      <c r="H4" s="6"/>
      <c r="I4" s="6">
        <v>0</v>
      </c>
      <c r="J4" s="6">
        <v>8</v>
      </c>
      <c r="K4" s="6">
        <v>176</v>
      </c>
      <c r="L4" s="6">
        <v>0</v>
      </c>
      <c r="M4" s="5">
        <v>44256</v>
      </c>
      <c r="N4" s="6"/>
      <c r="O4" s="7">
        <v>600</v>
      </c>
    </row>
    <row r="5" spans="1:15" ht="12.75" x14ac:dyDescent="0.2">
      <c r="A5" s="2">
        <v>45748</v>
      </c>
      <c r="B5" s="3" t="s">
        <v>25</v>
      </c>
      <c r="C5" s="3" t="s">
        <v>26</v>
      </c>
      <c r="D5" s="3" t="s">
        <v>27</v>
      </c>
      <c r="E5" s="3" t="s">
        <v>28</v>
      </c>
      <c r="F5" s="4">
        <v>5140</v>
      </c>
      <c r="G5" s="3" t="s">
        <v>20</v>
      </c>
      <c r="H5" s="3"/>
      <c r="I5" s="3">
        <v>0</v>
      </c>
      <c r="J5" s="3">
        <v>8</v>
      </c>
      <c r="K5" s="3">
        <v>176</v>
      </c>
      <c r="L5" s="3">
        <v>0</v>
      </c>
      <c r="M5" s="2">
        <v>44287</v>
      </c>
      <c r="N5" s="3"/>
      <c r="O5" s="4">
        <v>650</v>
      </c>
    </row>
    <row r="6" spans="1:15" ht="12.75" x14ac:dyDescent="0.2">
      <c r="A6" s="5">
        <v>45778</v>
      </c>
      <c r="B6" s="6" t="s">
        <v>29</v>
      </c>
      <c r="C6" s="6" t="s">
        <v>30</v>
      </c>
      <c r="D6" s="6" t="s">
        <v>31</v>
      </c>
      <c r="E6" s="6" t="s">
        <v>32</v>
      </c>
      <c r="F6" s="7">
        <v>5520</v>
      </c>
      <c r="G6" s="6" t="s">
        <v>20</v>
      </c>
      <c r="H6" s="6"/>
      <c r="I6" s="6">
        <v>0</v>
      </c>
      <c r="J6" s="6">
        <v>7</v>
      </c>
      <c r="K6" s="6">
        <v>176</v>
      </c>
      <c r="L6" s="6">
        <v>0</v>
      </c>
      <c r="M6" s="5">
        <v>44317</v>
      </c>
      <c r="N6" s="6"/>
      <c r="O6" s="7">
        <v>700</v>
      </c>
    </row>
    <row r="7" spans="1:15" ht="12.75" x14ac:dyDescent="0.2">
      <c r="A7" s="2">
        <v>45809</v>
      </c>
      <c r="B7" s="3" t="s">
        <v>33</v>
      </c>
      <c r="C7" s="3" t="s">
        <v>34</v>
      </c>
      <c r="D7" s="3" t="s">
        <v>35</v>
      </c>
      <c r="E7" s="3" t="s">
        <v>36</v>
      </c>
      <c r="F7" s="4">
        <v>5900</v>
      </c>
      <c r="G7" s="3" t="s">
        <v>20</v>
      </c>
      <c r="H7" s="3"/>
      <c r="I7" s="3">
        <v>1</v>
      </c>
      <c r="J7" s="3">
        <v>7</v>
      </c>
      <c r="K7" s="3">
        <v>176</v>
      </c>
      <c r="L7" s="3">
        <v>8</v>
      </c>
      <c r="M7" s="2">
        <v>44348</v>
      </c>
      <c r="N7" s="3"/>
      <c r="O7" s="4">
        <v>750</v>
      </c>
    </row>
    <row r="8" spans="1:15" ht="12.75" x14ac:dyDescent="0.2">
      <c r="A8" s="5">
        <v>45839</v>
      </c>
      <c r="B8" s="6" t="s">
        <v>37</v>
      </c>
      <c r="C8" s="6" t="s">
        <v>38</v>
      </c>
      <c r="D8" s="6" t="s">
        <v>39</v>
      </c>
      <c r="E8" s="6" t="s">
        <v>40</v>
      </c>
      <c r="F8" s="7">
        <v>6280</v>
      </c>
      <c r="G8" s="6" t="s">
        <v>20</v>
      </c>
      <c r="H8" s="6"/>
      <c r="I8" s="6">
        <v>0</v>
      </c>
      <c r="J8" s="6">
        <v>6</v>
      </c>
      <c r="K8" s="6">
        <v>176</v>
      </c>
      <c r="L8" s="6">
        <v>0</v>
      </c>
      <c r="M8" s="5">
        <v>44378</v>
      </c>
      <c r="N8" s="6"/>
      <c r="O8" s="7">
        <v>800</v>
      </c>
    </row>
    <row r="9" spans="1:15" ht="12.75" x14ac:dyDescent="0.2">
      <c r="A9" s="2">
        <v>45870</v>
      </c>
      <c r="B9" s="3" t="s">
        <v>41</v>
      </c>
      <c r="C9" s="3" t="s">
        <v>42</v>
      </c>
      <c r="D9" s="3" t="s">
        <v>43</v>
      </c>
      <c r="E9" s="3" t="s">
        <v>19</v>
      </c>
      <c r="F9" s="4">
        <v>6660</v>
      </c>
      <c r="G9" s="3" t="s">
        <v>20</v>
      </c>
      <c r="H9" s="3"/>
      <c r="I9" s="3">
        <v>0</v>
      </c>
      <c r="J9" s="3">
        <v>5</v>
      </c>
      <c r="K9" s="3">
        <v>176</v>
      </c>
      <c r="L9" s="3">
        <v>0</v>
      </c>
      <c r="M9" s="2">
        <v>44409</v>
      </c>
      <c r="N9" s="3"/>
      <c r="O9" s="4">
        <v>850</v>
      </c>
    </row>
    <row r="10" spans="1:15" ht="12.75" x14ac:dyDescent="0.2">
      <c r="A10" s="5">
        <v>45901</v>
      </c>
      <c r="B10" s="6" t="s">
        <v>44</v>
      </c>
      <c r="C10" s="6" t="s">
        <v>45</v>
      </c>
      <c r="D10" s="6" t="s">
        <v>18</v>
      </c>
      <c r="E10" s="6" t="s">
        <v>24</v>
      </c>
      <c r="F10" s="7">
        <v>7040</v>
      </c>
      <c r="G10" s="6" t="s">
        <v>20</v>
      </c>
      <c r="H10" s="6"/>
      <c r="I10" s="6">
        <v>0</v>
      </c>
      <c r="J10" s="6">
        <v>4</v>
      </c>
      <c r="K10" s="6">
        <v>176</v>
      </c>
      <c r="L10" s="6">
        <v>0</v>
      </c>
      <c r="M10" s="5">
        <v>44440</v>
      </c>
      <c r="N10" s="6"/>
      <c r="O10" s="7">
        <v>900</v>
      </c>
    </row>
    <row r="11" spans="1:15" ht="12.75" x14ac:dyDescent="0.2">
      <c r="A11" s="2">
        <v>45658</v>
      </c>
      <c r="B11" s="3" t="s">
        <v>46</v>
      </c>
      <c r="C11" s="3" t="s">
        <v>47</v>
      </c>
      <c r="D11" s="3" t="s">
        <v>23</v>
      </c>
      <c r="E11" s="3" t="s">
        <v>28</v>
      </c>
      <c r="F11" s="4">
        <v>7420</v>
      </c>
      <c r="G11" s="3" t="s">
        <v>20</v>
      </c>
      <c r="H11" s="3"/>
      <c r="I11" s="3">
        <v>0</v>
      </c>
      <c r="J11" s="3">
        <v>3</v>
      </c>
      <c r="K11" s="3">
        <v>176</v>
      </c>
      <c r="L11" s="3">
        <v>0</v>
      </c>
      <c r="M11" s="2">
        <v>44197</v>
      </c>
      <c r="N11" s="3"/>
      <c r="O11" s="4">
        <v>950</v>
      </c>
    </row>
    <row r="12" spans="1:15" ht="12.75" x14ac:dyDescent="0.2">
      <c r="A12" s="5">
        <v>45689</v>
      </c>
      <c r="B12" s="6" t="s">
        <v>48</v>
      </c>
      <c r="C12" s="6" t="s">
        <v>49</v>
      </c>
      <c r="D12" s="6" t="s">
        <v>27</v>
      </c>
      <c r="E12" s="6" t="s">
        <v>32</v>
      </c>
      <c r="F12" s="7">
        <v>7800</v>
      </c>
      <c r="G12" s="6" t="s">
        <v>20</v>
      </c>
      <c r="H12" s="6"/>
      <c r="I12" s="6">
        <v>7</v>
      </c>
      <c r="J12" s="6">
        <v>2</v>
      </c>
      <c r="K12" s="6">
        <v>176</v>
      </c>
      <c r="L12" s="6">
        <v>56</v>
      </c>
      <c r="M12" s="5">
        <v>44593</v>
      </c>
      <c r="N12" s="6"/>
      <c r="O12" s="7">
        <v>1000</v>
      </c>
    </row>
    <row r="13" spans="1:15" ht="12.75" x14ac:dyDescent="0.2">
      <c r="A13" s="2">
        <v>45717</v>
      </c>
      <c r="B13" s="3" t="s">
        <v>50</v>
      </c>
      <c r="C13" s="3" t="s">
        <v>51</v>
      </c>
      <c r="D13" s="3" t="s">
        <v>31</v>
      </c>
      <c r="E13" s="3" t="s">
        <v>36</v>
      </c>
      <c r="F13" s="4">
        <v>8180</v>
      </c>
      <c r="G13" s="3" t="s">
        <v>20</v>
      </c>
      <c r="H13" s="3"/>
      <c r="I13" s="3">
        <v>0</v>
      </c>
      <c r="J13" s="3">
        <v>1</v>
      </c>
      <c r="K13" s="3">
        <v>176</v>
      </c>
      <c r="L13" s="3">
        <v>0</v>
      </c>
      <c r="M13" s="2">
        <v>44621</v>
      </c>
      <c r="N13" s="3"/>
      <c r="O13" s="4">
        <v>1050</v>
      </c>
    </row>
    <row r="14" spans="1:15" ht="12.75" x14ac:dyDescent="0.2">
      <c r="A14" s="5">
        <v>45748</v>
      </c>
      <c r="B14" s="6" t="s">
        <v>52</v>
      </c>
      <c r="C14" s="6" t="s">
        <v>53</v>
      </c>
      <c r="D14" s="6" t="s">
        <v>35</v>
      </c>
      <c r="E14" s="6" t="s">
        <v>40</v>
      </c>
      <c r="F14" s="7">
        <v>8560</v>
      </c>
      <c r="G14" s="6" t="s">
        <v>20</v>
      </c>
      <c r="H14" s="6"/>
      <c r="I14" s="6">
        <v>0</v>
      </c>
      <c r="J14" s="6">
        <v>0</v>
      </c>
      <c r="K14" s="6">
        <v>176</v>
      </c>
      <c r="L14" s="6">
        <v>0</v>
      </c>
      <c r="M14" s="5">
        <v>44652</v>
      </c>
      <c r="N14" s="6"/>
      <c r="O14" s="7">
        <v>1100</v>
      </c>
    </row>
    <row r="15" spans="1:15" ht="12.75" x14ac:dyDescent="0.2">
      <c r="A15" s="2">
        <v>45778</v>
      </c>
      <c r="B15" s="3" t="s">
        <v>54</v>
      </c>
      <c r="C15" s="3" t="s">
        <v>55</v>
      </c>
      <c r="D15" s="3" t="s">
        <v>39</v>
      </c>
      <c r="E15" s="3" t="s">
        <v>19</v>
      </c>
      <c r="F15" s="4">
        <v>8940</v>
      </c>
      <c r="G15" s="3" t="s">
        <v>20</v>
      </c>
      <c r="H15" s="3"/>
      <c r="I15" s="3">
        <v>0</v>
      </c>
      <c r="J15" s="3">
        <v>-1</v>
      </c>
      <c r="K15" s="3">
        <v>176</v>
      </c>
      <c r="L15" s="3">
        <v>0</v>
      </c>
      <c r="M15" s="2">
        <v>44682</v>
      </c>
      <c r="N15" s="3"/>
      <c r="O15" s="4">
        <v>1150</v>
      </c>
    </row>
    <row r="16" spans="1:15" ht="12.75" x14ac:dyDescent="0.2">
      <c r="A16" s="5">
        <v>45809</v>
      </c>
      <c r="B16" s="6" t="s">
        <v>56</v>
      </c>
      <c r="C16" s="6" t="s">
        <v>57</v>
      </c>
      <c r="D16" s="6" t="s">
        <v>43</v>
      </c>
      <c r="E16" s="6" t="s">
        <v>24</v>
      </c>
      <c r="F16" s="7">
        <v>9320</v>
      </c>
      <c r="G16" s="6" t="s">
        <v>20</v>
      </c>
      <c r="H16" s="6"/>
      <c r="I16" s="6">
        <v>0</v>
      </c>
      <c r="J16" s="6">
        <v>10</v>
      </c>
      <c r="K16" s="6">
        <v>176</v>
      </c>
      <c r="L16" s="6">
        <v>0</v>
      </c>
      <c r="M16" s="5">
        <v>44713</v>
      </c>
      <c r="N16" s="6"/>
      <c r="O16" s="7">
        <v>1200</v>
      </c>
    </row>
    <row r="17" spans="1:15" ht="12.75" x14ac:dyDescent="0.2">
      <c r="A17" s="2">
        <v>45839</v>
      </c>
      <c r="B17" s="3" t="s">
        <v>58</v>
      </c>
      <c r="C17" s="3" t="s">
        <v>59</v>
      </c>
      <c r="D17" s="3" t="s">
        <v>18</v>
      </c>
      <c r="E17" s="3" t="s">
        <v>28</v>
      </c>
      <c r="F17" s="4">
        <v>9700</v>
      </c>
      <c r="G17" s="3" t="s">
        <v>20</v>
      </c>
      <c r="H17" s="3"/>
      <c r="I17" s="3">
        <v>5</v>
      </c>
      <c r="J17" s="3">
        <v>9</v>
      </c>
      <c r="K17" s="3">
        <v>176</v>
      </c>
      <c r="L17" s="3">
        <v>40</v>
      </c>
      <c r="M17" s="2">
        <v>44743</v>
      </c>
      <c r="N17" s="3"/>
      <c r="O17" s="4">
        <v>1250</v>
      </c>
    </row>
    <row r="18" spans="1:15" ht="12.75" x14ac:dyDescent="0.2">
      <c r="A18" s="5">
        <v>45870</v>
      </c>
      <c r="B18" s="6" t="s">
        <v>60</v>
      </c>
      <c r="C18" s="6" t="s">
        <v>61</v>
      </c>
      <c r="D18" s="6" t="s">
        <v>23</v>
      </c>
      <c r="E18" s="6" t="s">
        <v>32</v>
      </c>
      <c r="F18" s="7">
        <v>10080</v>
      </c>
      <c r="G18" s="6" t="s">
        <v>20</v>
      </c>
      <c r="H18" s="6"/>
      <c r="I18" s="6">
        <v>0</v>
      </c>
      <c r="J18" s="6">
        <v>8</v>
      </c>
      <c r="K18" s="6">
        <v>176</v>
      </c>
      <c r="L18" s="6">
        <v>0</v>
      </c>
      <c r="M18" s="5">
        <v>44774</v>
      </c>
      <c r="N18" s="6"/>
      <c r="O18" s="7">
        <v>1300</v>
      </c>
    </row>
    <row r="19" spans="1:15" ht="12.75" x14ac:dyDescent="0.2">
      <c r="A19" s="2">
        <v>45901</v>
      </c>
      <c r="B19" s="3" t="s">
        <v>62</v>
      </c>
      <c r="C19" s="3" t="s">
        <v>63</v>
      </c>
      <c r="D19" s="3" t="s">
        <v>27</v>
      </c>
      <c r="E19" s="3" t="s">
        <v>36</v>
      </c>
      <c r="F19" s="4">
        <v>10460</v>
      </c>
      <c r="G19" s="3" t="s">
        <v>20</v>
      </c>
      <c r="H19" s="3"/>
      <c r="I19" s="3">
        <v>0</v>
      </c>
      <c r="J19" s="3">
        <v>8</v>
      </c>
      <c r="K19" s="3">
        <v>176</v>
      </c>
      <c r="L19" s="3">
        <v>0</v>
      </c>
      <c r="M19" s="2">
        <v>44805</v>
      </c>
      <c r="N19" s="3"/>
      <c r="O19" s="4">
        <v>1350</v>
      </c>
    </row>
    <row r="20" spans="1:15" ht="12.75" x14ac:dyDescent="0.2">
      <c r="A20" s="5">
        <v>45658</v>
      </c>
      <c r="B20" s="6" t="s">
        <v>64</v>
      </c>
      <c r="C20" s="6" t="s">
        <v>65</v>
      </c>
      <c r="D20" s="6" t="s">
        <v>31</v>
      </c>
      <c r="E20" s="6" t="s">
        <v>40</v>
      </c>
      <c r="F20" s="7">
        <v>10840</v>
      </c>
      <c r="G20" s="6" t="s">
        <v>20</v>
      </c>
      <c r="H20" s="6"/>
      <c r="I20" s="6">
        <v>0</v>
      </c>
      <c r="J20" s="6">
        <v>7</v>
      </c>
      <c r="K20" s="6">
        <v>176</v>
      </c>
      <c r="L20" s="6">
        <v>0</v>
      </c>
      <c r="M20" s="5">
        <v>44562</v>
      </c>
      <c r="N20" s="6"/>
      <c r="O20" s="7">
        <v>1400</v>
      </c>
    </row>
    <row r="21" spans="1:15" ht="12.75" x14ac:dyDescent="0.2">
      <c r="A21" s="2">
        <v>45689</v>
      </c>
      <c r="B21" s="3" t="s">
        <v>66</v>
      </c>
      <c r="C21" s="3" t="s">
        <v>67</v>
      </c>
      <c r="D21" s="3" t="s">
        <v>35</v>
      </c>
      <c r="E21" s="3" t="s">
        <v>19</v>
      </c>
      <c r="F21" s="4">
        <v>11220</v>
      </c>
      <c r="G21" s="3" t="s">
        <v>20</v>
      </c>
      <c r="H21" s="3"/>
      <c r="I21" s="3">
        <v>0</v>
      </c>
      <c r="J21" s="3">
        <v>7</v>
      </c>
      <c r="K21" s="3">
        <v>176</v>
      </c>
      <c r="L21" s="3">
        <v>0</v>
      </c>
      <c r="M21" s="2">
        <v>44593</v>
      </c>
      <c r="N21" s="3"/>
      <c r="O21" s="4">
        <v>1450</v>
      </c>
    </row>
    <row r="22" spans="1:15" ht="12.75" x14ac:dyDescent="0.2">
      <c r="A22" s="5">
        <v>45717</v>
      </c>
      <c r="B22" s="6" t="s">
        <v>68</v>
      </c>
      <c r="C22" s="6" t="s">
        <v>69</v>
      </c>
      <c r="D22" s="6" t="s">
        <v>39</v>
      </c>
      <c r="E22" s="6" t="s">
        <v>24</v>
      </c>
      <c r="F22" s="7">
        <v>11600</v>
      </c>
      <c r="G22" s="6" t="s">
        <v>20</v>
      </c>
      <c r="H22" s="6"/>
      <c r="I22" s="6">
        <v>2</v>
      </c>
      <c r="J22" s="6">
        <v>6</v>
      </c>
      <c r="K22" s="6">
        <v>176</v>
      </c>
      <c r="L22" s="6">
        <v>16</v>
      </c>
      <c r="M22" s="5">
        <v>44986</v>
      </c>
      <c r="N22" s="6"/>
      <c r="O22" s="7">
        <v>1500</v>
      </c>
    </row>
    <row r="23" spans="1:15" ht="12.75" x14ac:dyDescent="0.2">
      <c r="A23" s="2">
        <v>45748</v>
      </c>
      <c r="B23" s="3" t="s">
        <v>70</v>
      </c>
      <c r="C23" s="3" t="s">
        <v>71</v>
      </c>
      <c r="D23" s="3" t="s">
        <v>43</v>
      </c>
      <c r="E23" s="3" t="s">
        <v>28</v>
      </c>
      <c r="F23" s="4">
        <v>11980</v>
      </c>
      <c r="G23" s="3" t="s">
        <v>20</v>
      </c>
      <c r="H23" s="3"/>
      <c r="I23" s="3">
        <v>0</v>
      </c>
      <c r="J23" s="3">
        <v>5</v>
      </c>
      <c r="K23" s="3">
        <v>176</v>
      </c>
      <c r="L23" s="3">
        <v>0</v>
      </c>
      <c r="M23" s="2">
        <v>45017</v>
      </c>
      <c r="N23" s="3"/>
      <c r="O23" s="4">
        <v>1550</v>
      </c>
    </row>
    <row r="24" spans="1:15" ht="12.75" x14ac:dyDescent="0.2">
      <c r="A24" s="5">
        <v>45778</v>
      </c>
      <c r="B24" s="6" t="s">
        <v>72</v>
      </c>
      <c r="C24" s="6" t="s">
        <v>73</v>
      </c>
      <c r="D24" s="6" t="s">
        <v>18</v>
      </c>
      <c r="E24" s="6" t="s">
        <v>32</v>
      </c>
      <c r="F24" s="7">
        <v>12360</v>
      </c>
      <c r="G24" s="6" t="s">
        <v>20</v>
      </c>
      <c r="H24" s="6"/>
      <c r="I24" s="6">
        <v>0</v>
      </c>
      <c r="J24" s="6">
        <v>4</v>
      </c>
      <c r="K24" s="6">
        <v>176</v>
      </c>
      <c r="L24" s="6">
        <v>0</v>
      </c>
      <c r="M24" s="5">
        <v>45047</v>
      </c>
      <c r="N24" s="6"/>
      <c r="O24" s="7">
        <v>1600</v>
      </c>
    </row>
    <row r="25" spans="1:15" ht="12.75" x14ac:dyDescent="0.2">
      <c r="A25" s="2">
        <v>45809</v>
      </c>
      <c r="B25" s="3" t="s">
        <v>74</v>
      </c>
      <c r="C25" s="3" t="s">
        <v>75</v>
      </c>
      <c r="D25" s="3" t="s">
        <v>23</v>
      </c>
      <c r="E25" s="3" t="s">
        <v>36</v>
      </c>
      <c r="F25" s="4">
        <v>12740</v>
      </c>
      <c r="G25" s="3" t="s">
        <v>20</v>
      </c>
      <c r="H25" s="3"/>
      <c r="I25" s="3">
        <v>0</v>
      </c>
      <c r="J25" s="3">
        <v>3</v>
      </c>
      <c r="K25" s="3">
        <v>176</v>
      </c>
      <c r="L25" s="3">
        <v>0</v>
      </c>
      <c r="M25" s="2">
        <v>45078</v>
      </c>
      <c r="N25" s="3"/>
      <c r="O25" s="4">
        <v>1650</v>
      </c>
    </row>
    <row r="26" spans="1:15" ht="12.75" x14ac:dyDescent="0.2">
      <c r="A26" s="5">
        <v>45839</v>
      </c>
      <c r="B26" s="6" t="s">
        <v>76</v>
      </c>
      <c r="C26" s="6" t="s">
        <v>77</v>
      </c>
      <c r="D26" s="6" t="s">
        <v>27</v>
      </c>
      <c r="E26" s="6" t="s">
        <v>40</v>
      </c>
      <c r="F26" s="7">
        <v>13120</v>
      </c>
      <c r="G26" s="6" t="s">
        <v>20</v>
      </c>
      <c r="H26" s="6"/>
      <c r="I26" s="6">
        <v>0</v>
      </c>
      <c r="J26" s="6">
        <v>2</v>
      </c>
      <c r="K26" s="6">
        <v>176</v>
      </c>
      <c r="L26" s="6">
        <v>0</v>
      </c>
      <c r="M26" s="5">
        <v>45108</v>
      </c>
      <c r="N26" s="6"/>
      <c r="O26" s="7">
        <v>1700</v>
      </c>
    </row>
    <row r="27" spans="1:15" ht="12.75" x14ac:dyDescent="0.2">
      <c r="A27" s="2">
        <v>45870</v>
      </c>
      <c r="B27" s="3" t="s">
        <v>78</v>
      </c>
      <c r="C27" s="3" t="s">
        <v>79</v>
      </c>
      <c r="D27" s="3" t="s">
        <v>31</v>
      </c>
      <c r="E27" s="3" t="s">
        <v>19</v>
      </c>
      <c r="F27" s="4">
        <v>13500</v>
      </c>
      <c r="G27" s="3" t="s">
        <v>80</v>
      </c>
      <c r="H27" s="3" t="s">
        <v>81</v>
      </c>
      <c r="I27" s="3">
        <v>8</v>
      </c>
      <c r="J27" s="3">
        <v>1</v>
      </c>
      <c r="K27" s="3">
        <v>176</v>
      </c>
      <c r="L27" s="3">
        <v>64</v>
      </c>
      <c r="M27" s="2">
        <v>45139</v>
      </c>
      <c r="N27" s="2">
        <v>45884</v>
      </c>
      <c r="O27" s="4">
        <v>0</v>
      </c>
    </row>
    <row r="28" spans="1:15" ht="12.75" x14ac:dyDescent="0.2">
      <c r="A28" s="5">
        <v>45901</v>
      </c>
      <c r="B28" s="6" t="s">
        <v>82</v>
      </c>
      <c r="C28" s="6" t="s">
        <v>83</v>
      </c>
      <c r="D28" s="6" t="s">
        <v>35</v>
      </c>
      <c r="E28" s="6" t="s">
        <v>24</v>
      </c>
      <c r="F28" s="7">
        <v>13880</v>
      </c>
      <c r="G28" s="6" t="s">
        <v>80</v>
      </c>
      <c r="H28" s="6" t="s">
        <v>84</v>
      </c>
      <c r="I28" s="6">
        <v>0</v>
      </c>
      <c r="J28" s="6">
        <v>0</v>
      </c>
      <c r="K28" s="6">
        <v>176</v>
      </c>
      <c r="L28" s="6">
        <v>0</v>
      </c>
      <c r="M28" s="5">
        <v>45170</v>
      </c>
      <c r="N28" s="5">
        <v>45915</v>
      </c>
      <c r="O28" s="7">
        <v>0</v>
      </c>
    </row>
    <row r="29" spans="1:15" ht="12.75" x14ac:dyDescent="0.2">
      <c r="A29" s="2">
        <v>45658</v>
      </c>
      <c r="B29" s="3" t="s">
        <v>85</v>
      </c>
      <c r="C29" s="3" t="s">
        <v>86</v>
      </c>
      <c r="D29" s="3" t="s">
        <v>39</v>
      </c>
      <c r="E29" s="3" t="s">
        <v>28</v>
      </c>
      <c r="F29" s="4">
        <v>14260</v>
      </c>
      <c r="G29" s="3" t="s">
        <v>80</v>
      </c>
      <c r="H29" s="3" t="s">
        <v>87</v>
      </c>
      <c r="I29" s="3">
        <v>0</v>
      </c>
      <c r="J29" s="3">
        <v>-1</v>
      </c>
      <c r="K29" s="3">
        <v>176</v>
      </c>
      <c r="L29" s="3">
        <v>0</v>
      </c>
      <c r="M29" s="2">
        <v>44927</v>
      </c>
      <c r="N29" s="2">
        <v>45672</v>
      </c>
      <c r="O29" s="4">
        <v>0</v>
      </c>
    </row>
    <row r="30" spans="1:15" ht="12.75" x14ac:dyDescent="0.2">
      <c r="A30" s="5">
        <v>45689</v>
      </c>
      <c r="B30" s="6" t="s">
        <v>88</v>
      </c>
      <c r="C30" s="6" t="s">
        <v>89</v>
      </c>
      <c r="D30" s="6" t="s">
        <v>43</v>
      </c>
      <c r="E30" s="6" t="s">
        <v>32</v>
      </c>
      <c r="F30" s="7">
        <v>14640</v>
      </c>
      <c r="G30" s="6" t="s">
        <v>80</v>
      </c>
      <c r="H30" s="6" t="s">
        <v>81</v>
      </c>
      <c r="I30" s="6">
        <v>0</v>
      </c>
      <c r="J30" s="6">
        <v>10</v>
      </c>
      <c r="K30" s="6">
        <v>176</v>
      </c>
      <c r="L30" s="6">
        <v>0</v>
      </c>
      <c r="M30" s="5">
        <v>44958</v>
      </c>
      <c r="N30" s="5">
        <v>45703</v>
      </c>
      <c r="O30" s="7">
        <v>0</v>
      </c>
    </row>
    <row r="31" spans="1:15" ht="12.75" x14ac:dyDescent="0.2">
      <c r="A31" s="2">
        <v>45717</v>
      </c>
      <c r="B31" s="3" t="s">
        <v>90</v>
      </c>
      <c r="C31" s="3" t="s">
        <v>91</v>
      </c>
      <c r="D31" s="3" t="s">
        <v>18</v>
      </c>
      <c r="E31" s="3" t="s">
        <v>36</v>
      </c>
      <c r="F31" s="4">
        <v>15020</v>
      </c>
      <c r="G31" s="3" t="s">
        <v>80</v>
      </c>
      <c r="H31" s="3" t="s">
        <v>84</v>
      </c>
      <c r="I31" s="3">
        <v>0</v>
      </c>
      <c r="J31" s="3">
        <v>9</v>
      </c>
      <c r="K31" s="3">
        <v>176</v>
      </c>
      <c r="L31" s="3">
        <v>0</v>
      </c>
      <c r="M31" s="2">
        <v>44986</v>
      </c>
      <c r="N31" s="2">
        <v>45731</v>
      </c>
      <c r="O31" s="4">
        <v>0</v>
      </c>
    </row>
    <row r="32" spans="1:15" ht="12.75" x14ac:dyDescent="0.2">
      <c r="A32" s="5">
        <v>45748</v>
      </c>
      <c r="B32" s="6" t="s">
        <v>92</v>
      </c>
      <c r="C32" s="6" t="s">
        <v>93</v>
      </c>
      <c r="D32" s="6" t="s">
        <v>23</v>
      </c>
      <c r="E32" s="6" t="s">
        <v>40</v>
      </c>
      <c r="F32" s="7">
        <v>15400</v>
      </c>
      <c r="G32" s="6" t="s">
        <v>80</v>
      </c>
      <c r="H32" s="6" t="s">
        <v>87</v>
      </c>
      <c r="I32" s="6">
        <v>7</v>
      </c>
      <c r="J32" s="6">
        <v>8</v>
      </c>
      <c r="K32" s="6">
        <v>176</v>
      </c>
      <c r="L32" s="6">
        <v>56</v>
      </c>
      <c r="M32" s="5">
        <v>45383</v>
      </c>
      <c r="N32" s="5">
        <v>45762</v>
      </c>
      <c r="O32" s="7">
        <v>0</v>
      </c>
    </row>
  </sheetData>
  <mergeCells count="1">
    <mergeCell ref="A1:O1"/>
  </mergeCells>
  <conditionalFormatting sqref="G3:G32">
    <cfRule type="cellIs" dxfId="6" priority="1" stopIfTrue="1" operator="equal">
      <formula>"Ativo"</formula>
    </cfRule>
    <cfRule type="cellIs" dxfId="5" priority="2" stopIfTrue="1" operator="equal">
      <formula>"Desligado"</formula>
    </cfRule>
  </conditionalFormatting>
  <dataValidations count="3">
    <dataValidation type="list" allowBlank="1" showErrorMessage="1" sqref="D3:D32" xr:uid="{00000000-0002-0000-0000-000000000000}">
      <formula1>"Operações,RH,Financeiro,Tecnologia,Marketing,Logística,Comercial"</formula1>
    </dataValidation>
    <dataValidation type="list" allowBlank="1" showErrorMessage="1" sqref="E3:E32" xr:uid="{00000000-0002-0000-0000-000001000000}">
      <formula1>"Coordenador,Gerente,Especialista,Assistente,Supervisor,Analista"</formula1>
    </dataValidation>
    <dataValidation type="list" allowBlank="1" showErrorMessage="1" sqref="G3:G32" xr:uid="{00000000-0002-0000-0000-000002000000}">
      <formula1>"Ativo,Desligado"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7A4A"/>
    <outlinePr summaryBelow="0" summaryRight="0"/>
  </sheetPr>
  <dimension ref="A1:L48"/>
  <sheetViews>
    <sheetView showGridLines="0" workbookViewId="0">
      <pane ySplit="1" topLeftCell="A2" activePane="bottomLeft" state="frozen"/>
      <selection pane="bottomLeft" activeCell="E36" sqref="E36"/>
    </sheetView>
  </sheetViews>
  <sheetFormatPr defaultColWidth="12.5703125" defaultRowHeight="15.75" customHeight="1" x14ac:dyDescent="0.2"/>
  <cols>
    <col min="1" max="1" width="6.7109375" bestFit="1" customWidth="1"/>
    <col min="2" max="2" width="11.85546875" bestFit="1" customWidth="1"/>
    <col min="3" max="3" width="10.7109375" bestFit="1" customWidth="1"/>
    <col min="4" max="4" width="10.140625" bestFit="1" customWidth="1"/>
    <col min="5" max="5" width="12.5703125" customWidth="1"/>
    <col min="6" max="6" width="12.42578125" bestFit="1" customWidth="1"/>
    <col min="7" max="7" width="11.42578125" bestFit="1" customWidth="1"/>
    <col min="8" max="8" width="10" bestFit="1" customWidth="1"/>
    <col min="9" max="9" width="12" bestFit="1" customWidth="1"/>
  </cols>
  <sheetData>
    <row r="1" spans="1:12" ht="30" customHeight="1" x14ac:dyDescent="0.2">
      <c r="A1" s="25" t="s">
        <v>94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25.5" customHeight="1" x14ac:dyDescent="0.2">
      <c r="A3" s="27" t="s">
        <v>95</v>
      </c>
      <c r="B3" s="26"/>
      <c r="C3" s="26"/>
      <c r="D3" s="26"/>
      <c r="E3" s="26"/>
      <c r="F3" s="26"/>
      <c r="G3" s="26"/>
      <c r="H3" s="26"/>
      <c r="I3" s="26"/>
    </row>
    <row r="4" spans="1:12" ht="27" customHeight="1" x14ac:dyDescent="0.2">
      <c r="A4" s="8" t="s">
        <v>96</v>
      </c>
      <c r="B4" s="8" t="s">
        <v>97</v>
      </c>
      <c r="C4" s="8" t="s">
        <v>98</v>
      </c>
      <c r="D4" s="8" t="s">
        <v>99</v>
      </c>
      <c r="E4" s="8" t="s">
        <v>100</v>
      </c>
      <c r="F4" s="8" t="s">
        <v>101</v>
      </c>
      <c r="G4" s="8" t="s">
        <v>102</v>
      </c>
      <c r="H4" s="8" t="s">
        <v>103</v>
      </c>
      <c r="I4" s="8" t="s">
        <v>7</v>
      </c>
    </row>
    <row r="5" spans="1:12" ht="12.75" x14ac:dyDescent="0.2">
      <c r="A5" s="9">
        <v>46047</v>
      </c>
      <c r="B5" s="3">
        <v>120</v>
      </c>
      <c r="C5" s="3">
        <v>3</v>
      </c>
      <c r="D5" s="3">
        <v>2</v>
      </c>
      <c r="E5" s="3">
        <f t="shared" ref="E5:E16" si="0">(C5+D5)/2</f>
        <v>2.5</v>
      </c>
      <c r="F5" s="10">
        <f t="shared" ref="F5:F16" si="1">((C5+D5)/2)/B5*100</f>
        <v>2.083333333333333</v>
      </c>
      <c r="G5" s="10">
        <v>15</v>
      </c>
      <c r="H5" s="10">
        <f t="shared" ref="H5:H16" si="2">F5-G5</f>
        <v>-12.916666666666668</v>
      </c>
      <c r="I5" s="3" t="str">
        <f t="shared" ref="I5:I16" si="3">IF(F5&lt;=G5,"✅ OK","⚠️ Acima")</f>
        <v>✅ OK</v>
      </c>
    </row>
    <row r="6" spans="1:12" ht="12.75" x14ac:dyDescent="0.2">
      <c r="A6" s="11">
        <v>46078</v>
      </c>
      <c r="B6" s="6">
        <v>122</v>
      </c>
      <c r="C6" s="6">
        <v>2</v>
      </c>
      <c r="D6" s="6">
        <v>4</v>
      </c>
      <c r="E6" s="6">
        <f t="shared" si="0"/>
        <v>3</v>
      </c>
      <c r="F6" s="12">
        <f t="shared" si="1"/>
        <v>2.459016393442623</v>
      </c>
      <c r="G6" s="12">
        <v>15</v>
      </c>
      <c r="H6" s="12">
        <f t="shared" si="2"/>
        <v>-12.540983606557377</v>
      </c>
      <c r="I6" s="3" t="str">
        <f t="shared" si="3"/>
        <v>✅ OK</v>
      </c>
    </row>
    <row r="7" spans="1:12" ht="12.75" x14ac:dyDescent="0.2">
      <c r="A7" s="9">
        <v>46106</v>
      </c>
      <c r="B7" s="3">
        <v>120</v>
      </c>
      <c r="C7" s="3">
        <v>5</v>
      </c>
      <c r="D7" s="3">
        <v>1</v>
      </c>
      <c r="E7" s="3">
        <f t="shared" si="0"/>
        <v>3</v>
      </c>
      <c r="F7" s="10">
        <f t="shared" si="1"/>
        <v>2.5</v>
      </c>
      <c r="G7" s="10">
        <v>15</v>
      </c>
      <c r="H7" s="10">
        <f t="shared" si="2"/>
        <v>-12.5</v>
      </c>
      <c r="I7" s="3" t="str">
        <f t="shared" si="3"/>
        <v>✅ OK</v>
      </c>
    </row>
    <row r="8" spans="1:12" ht="12.75" x14ac:dyDescent="0.2">
      <c r="A8" s="11">
        <v>46137</v>
      </c>
      <c r="B8" s="6">
        <v>124</v>
      </c>
      <c r="C8" s="6">
        <v>1</v>
      </c>
      <c r="D8" s="6">
        <v>3</v>
      </c>
      <c r="E8" s="6">
        <f t="shared" si="0"/>
        <v>2</v>
      </c>
      <c r="F8" s="12">
        <f t="shared" si="1"/>
        <v>1.6129032258064515</v>
      </c>
      <c r="G8" s="12">
        <v>15</v>
      </c>
      <c r="H8" s="12">
        <f t="shared" si="2"/>
        <v>-13.387096774193548</v>
      </c>
      <c r="I8" s="3" t="str">
        <f t="shared" si="3"/>
        <v>✅ OK</v>
      </c>
    </row>
    <row r="9" spans="1:12" ht="12.75" x14ac:dyDescent="0.2">
      <c r="A9" s="9">
        <v>46167</v>
      </c>
      <c r="B9" s="3">
        <v>122</v>
      </c>
      <c r="C9" s="3">
        <v>4</v>
      </c>
      <c r="D9" s="3">
        <v>2</v>
      </c>
      <c r="E9" s="3">
        <f t="shared" si="0"/>
        <v>3</v>
      </c>
      <c r="F9" s="10">
        <f t="shared" si="1"/>
        <v>2.459016393442623</v>
      </c>
      <c r="G9" s="10">
        <v>15</v>
      </c>
      <c r="H9" s="10">
        <f t="shared" si="2"/>
        <v>-12.540983606557377</v>
      </c>
      <c r="I9" s="3" t="str">
        <f t="shared" si="3"/>
        <v>✅ OK</v>
      </c>
    </row>
    <row r="10" spans="1:12" ht="12.75" x14ac:dyDescent="0.2">
      <c r="A10" s="11">
        <v>46198</v>
      </c>
      <c r="B10" s="6">
        <v>124</v>
      </c>
      <c r="C10" s="6">
        <v>3</v>
      </c>
      <c r="D10" s="6">
        <v>5</v>
      </c>
      <c r="E10" s="6">
        <f t="shared" si="0"/>
        <v>4</v>
      </c>
      <c r="F10" s="12">
        <f t="shared" si="1"/>
        <v>3.225806451612903</v>
      </c>
      <c r="G10" s="12">
        <v>15</v>
      </c>
      <c r="H10" s="12">
        <f t="shared" si="2"/>
        <v>-11.774193548387096</v>
      </c>
      <c r="I10" s="3" t="str">
        <f t="shared" si="3"/>
        <v>✅ OK</v>
      </c>
    </row>
    <row r="11" spans="1:12" ht="12.75" x14ac:dyDescent="0.2">
      <c r="A11" s="9">
        <v>46228</v>
      </c>
      <c r="B11" s="3">
        <v>122</v>
      </c>
      <c r="C11" s="3">
        <v>2</v>
      </c>
      <c r="D11" s="3">
        <v>2</v>
      </c>
      <c r="E11" s="3">
        <f t="shared" si="0"/>
        <v>2</v>
      </c>
      <c r="F11" s="10">
        <f t="shared" si="1"/>
        <v>1.639344262295082</v>
      </c>
      <c r="G11" s="10">
        <v>15</v>
      </c>
      <c r="H11" s="10">
        <f t="shared" si="2"/>
        <v>-13.360655737704917</v>
      </c>
      <c r="I11" s="3" t="str">
        <f t="shared" si="3"/>
        <v>✅ OK</v>
      </c>
    </row>
    <row r="12" spans="1:12" ht="12.75" x14ac:dyDescent="0.2">
      <c r="A12" s="11">
        <v>46259</v>
      </c>
      <c r="B12" s="6">
        <v>122</v>
      </c>
      <c r="C12" s="6">
        <v>3</v>
      </c>
      <c r="D12" s="6">
        <v>3</v>
      </c>
      <c r="E12" s="6">
        <f t="shared" si="0"/>
        <v>3</v>
      </c>
      <c r="F12" s="12">
        <f t="shared" si="1"/>
        <v>2.459016393442623</v>
      </c>
      <c r="G12" s="12">
        <v>15</v>
      </c>
      <c r="H12" s="12">
        <f t="shared" si="2"/>
        <v>-12.540983606557377</v>
      </c>
      <c r="I12" s="3" t="str">
        <f t="shared" si="3"/>
        <v>✅ OK</v>
      </c>
    </row>
    <row r="13" spans="1:12" ht="12.75" x14ac:dyDescent="0.2">
      <c r="A13" s="9">
        <v>46290</v>
      </c>
      <c r="B13" s="3">
        <v>122</v>
      </c>
      <c r="C13" s="3">
        <v>4</v>
      </c>
      <c r="D13" s="3">
        <v>1</v>
      </c>
      <c r="E13" s="3">
        <f t="shared" si="0"/>
        <v>2.5</v>
      </c>
      <c r="F13" s="10">
        <f t="shared" si="1"/>
        <v>2.0491803278688523</v>
      </c>
      <c r="G13" s="10">
        <v>15</v>
      </c>
      <c r="H13" s="10">
        <f t="shared" si="2"/>
        <v>-12.950819672131148</v>
      </c>
      <c r="I13" s="3" t="str">
        <f t="shared" si="3"/>
        <v>✅ OK</v>
      </c>
    </row>
    <row r="14" spans="1:12" ht="12.75" x14ac:dyDescent="0.2">
      <c r="A14" s="11">
        <v>46320</v>
      </c>
      <c r="B14" s="6">
        <v>125</v>
      </c>
      <c r="C14" s="6">
        <v>2</v>
      </c>
      <c r="D14" s="6">
        <v>4</v>
      </c>
      <c r="E14" s="6">
        <f t="shared" si="0"/>
        <v>3</v>
      </c>
      <c r="F14" s="12">
        <f t="shared" si="1"/>
        <v>2.4</v>
      </c>
      <c r="G14" s="12">
        <v>15</v>
      </c>
      <c r="H14" s="12">
        <f t="shared" si="2"/>
        <v>-12.6</v>
      </c>
      <c r="I14" s="3" t="str">
        <f t="shared" si="3"/>
        <v>✅ OK</v>
      </c>
    </row>
    <row r="15" spans="1:12" ht="12.75" x14ac:dyDescent="0.2">
      <c r="A15" s="9">
        <v>46351</v>
      </c>
      <c r="B15" s="3">
        <v>123</v>
      </c>
      <c r="C15" s="3">
        <v>3</v>
      </c>
      <c r="D15" s="3">
        <v>2</v>
      </c>
      <c r="E15" s="3">
        <f t="shared" si="0"/>
        <v>2.5</v>
      </c>
      <c r="F15" s="10">
        <f t="shared" si="1"/>
        <v>2.0325203252032518</v>
      </c>
      <c r="G15" s="10">
        <v>15</v>
      </c>
      <c r="H15" s="10">
        <f t="shared" si="2"/>
        <v>-12.967479674796749</v>
      </c>
      <c r="I15" s="3" t="str">
        <f t="shared" si="3"/>
        <v>✅ OK</v>
      </c>
    </row>
    <row r="16" spans="1:12" ht="12.75" x14ac:dyDescent="0.2">
      <c r="A16" s="11">
        <v>46381</v>
      </c>
      <c r="B16" s="6">
        <v>124</v>
      </c>
      <c r="C16" s="6">
        <v>1</v>
      </c>
      <c r="D16" s="6">
        <v>3</v>
      </c>
      <c r="E16" s="6">
        <f t="shared" si="0"/>
        <v>2</v>
      </c>
      <c r="F16" s="12">
        <f t="shared" si="1"/>
        <v>1.6129032258064515</v>
      </c>
      <c r="G16" s="12">
        <v>15</v>
      </c>
      <c r="H16" s="12">
        <f t="shared" si="2"/>
        <v>-13.387096774193548</v>
      </c>
      <c r="I16" s="3" t="str">
        <f t="shared" si="3"/>
        <v>✅ OK</v>
      </c>
    </row>
    <row r="19" spans="1:9" ht="25.5" customHeight="1" x14ac:dyDescent="0.2">
      <c r="A19" s="28" t="s">
        <v>104</v>
      </c>
      <c r="B19" s="26"/>
      <c r="C19" s="26"/>
      <c r="D19" s="26"/>
      <c r="E19" s="26"/>
      <c r="F19" s="26"/>
      <c r="G19" s="26"/>
      <c r="H19" s="26"/>
      <c r="I19" s="26"/>
    </row>
    <row r="20" spans="1:9" ht="27" customHeight="1" x14ac:dyDescent="0.2">
      <c r="A20" s="8" t="s">
        <v>96</v>
      </c>
      <c r="B20" s="8" t="s">
        <v>11</v>
      </c>
      <c r="C20" s="8" t="s">
        <v>12</v>
      </c>
      <c r="D20" s="8" t="s">
        <v>105</v>
      </c>
      <c r="E20" s="8" t="s">
        <v>102</v>
      </c>
      <c r="F20" s="8" t="s">
        <v>106</v>
      </c>
      <c r="G20" s="8" t="s">
        <v>107</v>
      </c>
      <c r="H20" s="8" t="s">
        <v>7</v>
      </c>
    </row>
    <row r="21" spans="1:9" ht="12.75" x14ac:dyDescent="0.2">
      <c r="A21" s="9">
        <v>46047</v>
      </c>
      <c r="B21" s="3">
        <v>2640</v>
      </c>
      <c r="C21" s="3">
        <v>52</v>
      </c>
      <c r="D21" s="10">
        <f t="shared" ref="D21:D32" si="4">(C21/B21)*100</f>
        <v>1.9696969696969695</v>
      </c>
      <c r="E21" s="10">
        <v>2</v>
      </c>
      <c r="F21" s="10">
        <f t="shared" ref="F21:F32" si="5">D21-E21</f>
        <v>-3.0303030303030498E-2</v>
      </c>
      <c r="G21" s="4">
        <f t="shared" ref="G21:G32" si="6">C21*35</f>
        <v>1820</v>
      </c>
      <c r="H21" s="3" t="str">
        <f t="shared" ref="H21:H32" si="7">IF(D21&lt;=E21,"✅ Normal","🔴 Crítico")</f>
        <v>✅ Normal</v>
      </c>
    </row>
    <row r="22" spans="1:9" ht="12.75" x14ac:dyDescent="0.2">
      <c r="A22" s="11">
        <v>46078</v>
      </c>
      <c r="B22" s="6">
        <v>2640</v>
      </c>
      <c r="C22" s="6">
        <v>48</v>
      </c>
      <c r="D22" s="12">
        <f t="shared" si="4"/>
        <v>1.8181818181818181</v>
      </c>
      <c r="E22" s="12">
        <v>2</v>
      </c>
      <c r="F22" s="12">
        <f t="shared" si="5"/>
        <v>-0.18181818181818188</v>
      </c>
      <c r="G22" s="7">
        <f t="shared" si="6"/>
        <v>1680</v>
      </c>
      <c r="H22" s="3" t="str">
        <f t="shared" si="7"/>
        <v>✅ Normal</v>
      </c>
    </row>
    <row r="23" spans="1:9" ht="12.75" x14ac:dyDescent="0.2">
      <c r="A23" s="9">
        <v>46106</v>
      </c>
      <c r="B23" s="3">
        <v>2640</v>
      </c>
      <c r="C23" s="3">
        <v>60</v>
      </c>
      <c r="D23" s="10">
        <f t="shared" si="4"/>
        <v>2.2727272727272729</v>
      </c>
      <c r="E23" s="10">
        <v>2</v>
      </c>
      <c r="F23" s="10">
        <f t="shared" si="5"/>
        <v>0.27272727272727293</v>
      </c>
      <c r="G23" s="4">
        <f t="shared" si="6"/>
        <v>2100</v>
      </c>
      <c r="H23" s="3" t="str">
        <f t="shared" si="7"/>
        <v>🔴 Crítico</v>
      </c>
    </row>
    <row r="24" spans="1:9" ht="12.75" x14ac:dyDescent="0.2">
      <c r="A24" s="11">
        <v>46137</v>
      </c>
      <c r="B24" s="6">
        <v>2640</v>
      </c>
      <c r="C24" s="6">
        <v>44</v>
      </c>
      <c r="D24" s="12">
        <f t="shared" si="4"/>
        <v>1.6666666666666667</v>
      </c>
      <c r="E24" s="12">
        <v>2</v>
      </c>
      <c r="F24" s="12">
        <f t="shared" si="5"/>
        <v>-0.33333333333333326</v>
      </c>
      <c r="G24" s="7">
        <f t="shared" si="6"/>
        <v>1540</v>
      </c>
      <c r="H24" s="3" t="str">
        <f t="shared" si="7"/>
        <v>✅ Normal</v>
      </c>
    </row>
    <row r="25" spans="1:9" ht="12.75" x14ac:dyDescent="0.2">
      <c r="A25" s="9">
        <v>46167</v>
      </c>
      <c r="B25" s="3">
        <v>2640</v>
      </c>
      <c r="C25" s="3">
        <v>72</v>
      </c>
      <c r="D25" s="10">
        <f t="shared" si="4"/>
        <v>2.7272727272727271</v>
      </c>
      <c r="E25" s="10">
        <v>2</v>
      </c>
      <c r="F25" s="10">
        <f t="shared" si="5"/>
        <v>0.72727272727272707</v>
      </c>
      <c r="G25" s="4">
        <f t="shared" si="6"/>
        <v>2520</v>
      </c>
      <c r="H25" s="3" t="str">
        <f t="shared" si="7"/>
        <v>🔴 Crítico</v>
      </c>
    </row>
    <row r="26" spans="1:9" ht="12.75" x14ac:dyDescent="0.2">
      <c r="A26" s="11">
        <v>46198</v>
      </c>
      <c r="B26" s="6">
        <v>2640</v>
      </c>
      <c r="C26" s="6">
        <v>55</v>
      </c>
      <c r="D26" s="12">
        <f t="shared" si="4"/>
        <v>2.083333333333333</v>
      </c>
      <c r="E26" s="12">
        <v>2</v>
      </c>
      <c r="F26" s="12">
        <f t="shared" si="5"/>
        <v>8.3333333333333037E-2</v>
      </c>
      <c r="G26" s="7">
        <f t="shared" si="6"/>
        <v>1925</v>
      </c>
      <c r="H26" s="3" t="str">
        <f t="shared" si="7"/>
        <v>🔴 Crítico</v>
      </c>
    </row>
    <row r="27" spans="1:9" ht="12.75" x14ac:dyDescent="0.2">
      <c r="A27" s="9">
        <v>46228</v>
      </c>
      <c r="B27" s="3">
        <v>2640</v>
      </c>
      <c r="C27" s="3">
        <v>48</v>
      </c>
      <c r="D27" s="10">
        <f t="shared" si="4"/>
        <v>1.8181818181818181</v>
      </c>
      <c r="E27" s="10">
        <v>2</v>
      </c>
      <c r="F27" s="10">
        <f t="shared" si="5"/>
        <v>-0.18181818181818188</v>
      </c>
      <c r="G27" s="4">
        <f t="shared" si="6"/>
        <v>1680</v>
      </c>
      <c r="H27" s="3" t="str">
        <f t="shared" si="7"/>
        <v>✅ Normal</v>
      </c>
    </row>
    <row r="28" spans="1:9" ht="12.75" x14ac:dyDescent="0.2">
      <c r="A28" s="11">
        <v>46259</v>
      </c>
      <c r="B28" s="6">
        <v>2640</v>
      </c>
      <c r="C28" s="6">
        <v>65</v>
      </c>
      <c r="D28" s="12">
        <f t="shared" si="4"/>
        <v>2.4621212121212119</v>
      </c>
      <c r="E28" s="12">
        <v>2</v>
      </c>
      <c r="F28" s="12">
        <f t="shared" si="5"/>
        <v>0.46212121212121193</v>
      </c>
      <c r="G28" s="7">
        <f t="shared" si="6"/>
        <v>2275</v>
      </c>
      <c r="H28" s="3" t="str">
        <f t="shared" si="7"/>
        <v>🔴 Crítico</v>
      </c>
    </row>
    <row r="29" spans="1:9" ht="12.75" x14ac:dyDescent="0.2">
      <c r="A29" s="9">
        <v>46290</v>
      </c>
      <c r="B29" s="3">
        <v>2640</v>
      </c>
      <c r="C29" s="3">
        <v>58</v>
      </c>
      <c r="D29" s="10">
        <f t="shared" si="4"/>
        <v>2.1969696969696968</v>
      </c>
      <c r="E29" s="10">
        <v>2</v>
      </c>
      <c r="F29" s="10">
        <f t="shared" si="5"/>
        <v>0.19696969696969679</v>
      </c>
      <c r="G29" s="4">
        <f t="shared" si="6"/>
        <v>2030</v>
      </c>
      <c r="H29" s="3" t="str">
        <f t="shared" si="7"/>
        <v>🔴 Crítico</v>
      </c>
    </row>
    <row r="30" spans="1:9" ht="12.75" x14ac:dyDescent="0.2">
      <c r="A30" s="11">
        <v>46320</v>
      </c>
      <c r="B30" s="6">
        <v>2640</v>
      </c>
      <c r="C30" s="6">
        <v>42</v>
      </c>
      <c r="D30" s="12">
        <f t="shared" si="4"/>
        <v>1.5909090909090908</v>
      </c>
      <c r="E30" s="12">
        <v>2</v>
      </c>
      <c r="F30" s="12">
        <f t="shared" si="5"/>
        <v>-0.40909090909090917</v>
      </c>
      <c r="G30" s="7">
        <f t="shared" si="6"/>
        <v>1470</v>
      </c>
      <c r="H30" s="3" t="str">
        <f t="shared" si="7"/>
        <v>✅ Normal</v>
      </c>
    </row>
    <row r="31" spans="1:9" ht="12.75" x14ac:dyDescent="0.2">
      <c r="A31" s="9">
        <v>46351</v>
      </c>
      <c r="B31" s="3">
        <v>2640</v>
      </c>
      <c r="C31" s="3">
        <v>70</v>
      </c>
      <c r="D31" s="10">
        <f t="shared" si="4"/>
        <v>2.6515151515151514</v>
      </c>
      <c r="E31" s="10">
        <v>2</v>
      </c>
      <c r="F31" s="10">
        <f t="shared" si="5"/>
        <v>0.65151515151515138</v>
      </c>
      <c r="G31" s="4">
        <f t="shared" si="6"/>
        <v>2450</v>
      </c>
      <c r="H31" s="3" t="str">
        <f t="shared" si="7"/>
        <v>🔴 Crítico</v>
      </c>
    </row>
    <row r="32" spans="1:9" ht="12.75" x14ac:dyDescent="0.2">
      <c r="A32" s="11">
        <v>46381</v>
      </c>
      <c r="B32" s="6">
        <v>2640</v>
      </c>
      <c r="C32" s="6">
        <v>50</v>
      </c>
      <c r="D32" s="12">
        <f t="shared" si="4"/>
        <v>1.893939393939394</v>
      </c>
      <c r="E32" s="12">
        <v>2</v>
      </c>
      <c r="F32" s="12">
        <f t="shared" si="5"/>
        <v>-0.10606060606060597</v>
      </c>
      <c r="G32" s="7">
        <f t="shared" si="6"/>
        <v>1750</v>
      </c>
      <c r="H32" s="3" t="str">
        <f t="shared" si="7"/>
        <v>✅ Normal</v>
      </c>
    </row>
    <row r="35" spans="1:9" ht="25.5" customHeight="1" x14ac:dyDescent="0.2">
      <c r="A35" s="29" t="s">
        <v>108</v>
      </c>
      <c r="B35" s="26"/>
      <c r="C35" s="26"/>
      <c r="D35" s="26"/>
      <c r="E35" s="26"/>
      <c r="F35" s="26"/>
      <c r="G35" s="26"/>
      <c r="H35" s="26"/>
      <c r="I35" s="26"/>
    </row>
    <row r="36" spans="1:9" ht="27" customHeight="1" x14ac:dyDescent="0.2">
      <c r="A36" s="8" t="s">
        <v>96</v>
      </c>
      <c r="B36" s="8" t="s">
        <v>109</v>
      </c>
      <c r="C36" s="8" t="s">
        <v>110</v>
      </c>
      <c r="D36" s="8" t="s">
        <v>111</v>
      </c>
      <c r="E36" s="8" t="s">
        <v>112</v>
      </c>
      <c r="F36" s="8" t="s">
        <v>113</v>
      </c>
      <c r="G36" s="8" t="s">
        <v>114</v>
      </c>
      <c r="H36" s="8" t="s">
        <v>115</v>
      </c>
      <c r="I36" s="8" t="s">
        <v>116</v>
      </c>
    </row>
    <row r="37" spans="1:9" ht="12.75" x14ac:dyDescent="0.2">
      <c r="A37" s="9">
        <v>46047</v>
      </c>
      <c r="B37" s="3">
        <v>85</v>
      </c>
      <c r="C37" s="3">
        <v>42</v>
      </c>
      <c r="D37" s="3">
        <v>30</v>
      </c>
      <c r="E37" s="3">
        <v>13</v>
      </c>
      <c r="F37" s="13">
        <f t="shared" ref="F37:F48" si="8">(C37/B37)*100</f>
        <v>49.411764705882355</v>
      </c>
      <c r="G37" s="13">
        <f t="shared" ref="G37:G48" si="9">(E37/B37)*100</f>
        <v>15.294117647058824</v>
      </c>
      <c r="H37" s="13">
        <f t="shared" ref="H37:H48" si="10">F37-G37</f>
        <v>34.117647058823529</v>
      </c>
      <c r="I37" s="3" t="str">
        <f t="shared" ref="I37:I48" si="11">IF(H37&gt;=50,"🟢 Excelente",IF(H37&gt;=20,"🟡 Bom",IF(H37&gt;=0,"🟠 Regular","🔴 Crítico")))</f>
        <v>🟡 Bom</v>
      </c>
    </row>
    <row r="38" spans="1:9" ht="12.75" x14ac:dyDescent="0.2">
      <c r="A38" s="11">
        <v>46078</v>
      </c>
      <c r="B38" s="6">
        <v>88</v>
      </c>
      <c r="C38" s="6">
        <v>44</v>
      </c>
      <c r="D38" s="6">
        <v>31</v>
      </c>
      <c r="E38" s="6">
        <v>13</v>
      </c>
      <c r="F38" s="14">
        <f t="shared" si="8"/>
        <v>50</v>
      </c>
      <c r="G38" s="14">
        <f t="shared" si="9"/>
        <v>14.772727272727273</v>
      </c>
      <c r="H38" s="14">
        <f t="shared" si="10"/>
        <v>35.227272727272727</v>
      </c>
      <c r="I38" s="3" t="str">
        <f t="shared" si="11"/>
        <v>🟡 Bom</v>
      </c>
    </row>
    <row r="39" spans="1:9" ht="12.75" x14ac:dyDescent="0.2">
      <c r="A39" s="9">
        <v>46106</v>
      </c>
      <c r="B39" s="3">
        <v>90</v>
      </c>
      <c r="C39" s="3">
        <v>40</v>
      </c>
      <c r="D39" s="3">
        <v>35</v>
      </c>
      <c r="E39" s="3">
        <v>15</v>
      </c>
      <c r="F39" s="13">
        <f t="shared" si="8"/>
        <v>44.444444444444443</v>
      </c>
      <c r="G39" s="13">
        <f t="shared" si="9"/>
        <v>16.666666666666664</v>
      </c>
      <c r="H39" s="13">
        <f t="shared" si="10"/>
        <v>27.777777777777779</v>
      </c>
      <c r="I39" s="3" t="str">
        <f t="shared" si="11"/>
        <v>🟡 Bom</v>
      </c>
    </row>
    <row r="40" spans="1:9" ht="12.75" x14ac:dyDescent="0.2">
      <c r="A40" s="11">
        <v>46137</v>
      </c>
      <c r="B40" s="6">
        <v>87</v>
      </c>
      <c r="C40" s="6">
        <v>50</v>
      </c>
      <c r="D40" s="6">
        <v>25</v>
      </c>
      <c r="E40" s="6">
        <v>12</v>
      </c>
      <c r="F40" s="14">
        <f t="shared" si="8"/>
        <v>57.47126436781609</v>
      </c>
      <c r="G40" s="14">
        <f t="shared" si="9"/>
        <v>13.793103448275861</v>
      </c>
      <c r="H40" s="14">
        <f t="shared" si="10"/>
        <v>43.678160919540232</v>
      </c>
      <c r="I40" s="3" t="str">
        <f t="shared" si="11"/>
        <v>🟡 Bom</v>
      </c>
    </row>
    <row r="41" spans="1:9" ht="12.75" x14ac:dyDescent="0.2">
      <c r="A41" s="9">
        <v>46167</v>
      </c>
      <c r="B41" s="3">
        <v>92</v>
      </c>
      <c r="C41" s="3">
        <v>55</v>
      </c>
      <c r="D41" s="3">
        <v>25</v>
      </c>
      <c r="E41" s="3">
        <v>12</v>
      </c>
      <c r="F41" s="13">
        <f t="shared" si="8"/>
        <v>59.782608695652172</v>
      </c>
      <c r="G41" s="13">
        <f t="shared" si="9"/>
        <v>13.043478260869565</v>
      </c>
      <c r="H41" s="13">
        <f t="shared" si="10"/>
        <v>46.739130434782609</v>
      </c>
      <c r="I41" s="3" t="str">
        <f t="shared" si="11"/>
        <v>🟡 Bom</v>
      </c>
    </row>
    <row r="42" spans="1:9" ht="12.75" x14ac:dyDescent="0.2">
      <c r="A42" s="11">
        <v>46198</v>
      </c>
      <c r="B42" s="6">
        <v>95</v>
      </c>
      <c r="C42" s="6">
        <v>52</v>
      </c>
      <c r="D42" s="6">
        <v>30</v>
      </c>
      <c r="E42" s="6">
        <v>13</v>
      </c>
      <c r="F42" s="14">
        <f t="shared" si="8"/>
        <v>54.736842105263165</v>
      </c>
      <c r="G42" s="14">
        <f t="shared" si="9"/>
        <v>13.684210526315791</v>
      </c>
      <c r="H42" s="14">
        <f t="shared" si="10"/>
        <v>41.05263157894737</v>
      </c>
      <c r="I42" s="3" t="str">
        <f t="shared" si="11"/>
        <v>🟡 Bom</v>
      </c>
    </row>
    <row r="43" spans="1:9" ht="12.75" x14ac:dyDescent="0.2">
      <c r="A43" s="9">
        <v>46228</v>
      </c>
      <c r="B43" s="3">
        <v>88</v>
      </c>
      <c r="C43" s="3">
        <v>48</v>
      </c>
      <c r="D43" s="3">
        <v>28</v>
      </c>
      <c r="E43" s="3">
        <v>12</v>
      </c>
      <c r="F43" s="13">
        <f t="shared" si="8"/>
        <v>54.54545454545454</v>
      </c>
      <c r="G43" s="13">
        <f t="shared" si="9"/>
        <v>13.636363636363635</v>
      </c>
      <c r="H43" s="13">
        <f t="shared" si="10"/>
        <v>40.909090909090907</v>
      </c>
      <c r="I43" s="3" t="str">
        <f t="shared" si="11"/>
        <v>🟡 Bom</v>
      </c>
    </row>
    <row r="44" spans="1:9" ht="12.75" x14ac:dyDescent="0.2">
      <c r="A44" s="11">
        <v>46259</v>
      </c>
      <c r="B44" s="6">
        <v>91</v>
      </c>
      <c r="C44" s="6">
        <v>50</v>
      </c>
      <c r="D44" s="6">
        <v>28</v>
      </c>
      <c r="E44" s="6">
        <v>13</v>
      </c>
      <c r="F44" s="14">
        <f t="shared" si="8"/>
        <v>54.945054945054949</v>
      </c>
      <c r="G44" s="14">
        <f t="shared" si="9"/>
        <v>14.285714285714285</v>
      </c>
      <c r="H44" s="14">
        <f t="shared" si="10"/>
        <v>40.659340659340664</v>
      </c>
      <c r="I44" s="3" t="str">
        <f t="shared" si="11"/>
        <v>🟡 Bom</v>
      </c>
    </row>
    <row r="45" spans="1:9" ht="12.75" x14ac:dyDescent="0.2">
      <c r="A45" s="9">
        <v>46290</v>
      </c>
      <c r="B45" s="3">
        <v>89</v>
      </c>
      <c r="C45" s="3">
        <v>46</v>
      </c>
      <c r="D45" s="3">
        <v>30</v>
      </c>
      <c r="E45" s="3">
        <v>13</v>
      </c>
      <c r="F45" s="13">
        <f t="shared" si="8"/>
        <v>51.68539325842697</v>
      </c>
      <c r="G45" s="13">
        <f t="shared" si="9"/>
        <v>14.606741573033707</v>
      </c>
      <c r="H45" s="13">
        <f t="shared" si="10"/>
        <v>37.078651685393261</v>
      </c>
      <c r="I45" s="3" t="str">
        <f t="shared" si="11"/>
        <v>🟡 Bom</v>
      </c>
    </row>
    <row r="46" spans="1:9" ht="12.75" x14ac:dyDescent="0.2">
      <c r="A46" s="11">
        <v>46320</v>
      </c>
      <c r="B46" s="6">
        <v>93</v>
      </c>
      <c r="C46" s="6">
        <v>55</v>
      </c>
      <c r="D46" s="6">
        <v>27</v>
      </c>
      <c r="E46" s="6">
        <v>11</v>
      </c>
      <c r="F46" s="14">
        <f t="shared" si="8"/>
        <v>59.13978494623656</v>
      </c>
      <c r="G46" s="14">
        <f t="shared" si="9"/>
        <v>11.827956989247312</v>
      </c>
      <c r="H46" s="14">
        <f t="shared" si="10"/>
        <v>47.311827956989248</v>
      </c>
      <c r="I46" s="3" t="str">
        <f t="shared" si="11"/>
        <v>🟡 Bom</v>
      </c>
    </row>
    <row r="47" spans="1:9" ht="12.75" x14ac:dyDescent="0.2">
      <c r="A47" s="9">
        <v>46351</v>
      </c>
      <c r="B47" s="3">
        <v>96</v>
      </c>
      <c r="C47" s="3">
        <v>58</v>
      </c>
      <c r="D47" s="3">
        <v>25</v>
      </c>
      <c r="E47" s="3">
        <v>13</v>
      </c>
      <c r="F47" s="13">
        <f t="shared" si="8"/>
        <v>60.416666666666664</v>
      </c>
      <c r="G47" s="13">
        <f t="shared" si="9"/>
        <v>13.541666666666666</v>
      </c>
      <c r="H47" s="13">
        <f t="shared" si="10"/>
        <v>46.875</v>
      </c>
      <c r="I47" s="3" t="str">
        <f t="shared" si="11"/>
        <v>🟡 Bom</v>
      </c>
    </row>
    <row r="48" spans="1:9" ht="12.75" x14ac:dyDescent="0.2">
      <c r="A48" s="11">
        <v>46381</v>
      </c>
      <c r="B48" s="6">
        <v>94</v>
      </c>
      <c r="C48" s="6">
        <v>56</v>
      </c>
      <c r="D48" s="6">
        <v>26</v>
      </c>
      <c r="E48" s="6">
        <v>12</v>
      </c>
      <c r="F48" s="14">
        <f t="shared" si="8"/>
        <v>59.574468085106382</v>
      </c>
      <c r="G48" s="14">
        <f t="shared" si="9"/>
        <v>12.76595744680851</v>
      </c>
      <c r="H48" s="14">
        <f t="shared" si="10"/>
        <v>46.808510638297875</v>
      </c>
      <c r="I48" s="3" t="str">
        <f t="shared" si="11"/>
        <v>🟡 Bom</v>
      </c>
    </row>
  </sheetData>
  <mergeCells count="4">
    <mergeCell ref="A1:L1"/>
    <mergeCell ref="A3:I3"/>
    <mergeCell ref="A19:I19"/>
    <mergeCell ref="A35:I35"/>
  </mergeCells>
  <conditionalFormatting sqref="I5:I16">
    <cfRule type="containsText" dxfId="4" priority="1" stopIfTrue="1" operator="containsText" text="✅">
      <formula>NOT(ISERROR(SEARCH(("✅"),(I5))))</formula>
    </cfRule>
    <cfRule type="containsText" dxfId="3" priority="2" stopIfTrue="1" operator="containsText" text="⚠️">
      <formula>NOT(ISERROR(SEARCH(("⚠️"),(I5))))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A57A"/>
    <outlinePr summaryBelow="0" summaryRight="0"/>
  </sheetPr>
  <dimension ref="A1:K48"/>
  <sheetViews>
    <sheetView showGridLines="0" workbookViewId="0">
      <pane ySplit="1" topLeftCell="A2" activePane="bottomLeft" state="frozen"/>
      <selection pane="bottomLeft" activeCell="A3" sqref="A3:H3"/>
    </sheetView>
  </sheetViews>
  <sheetFormatPr defaultColWidth="12.5703125" defaultRowHeight="15.75" customHeight="1" x14ac:dyDescent="0.2"/>
  <cols>
    <col min="1" max="1" width="11.7109375" bestFit="1" customWidth="1"/>
    <col min="2" max="2" width="15.42578125" bestFit="1" customWidth="1"/>
    <col min="3" max="3" width="16" bestFit="1" customWidth="1"/>
    <col min="4" max="4" width="17.5703125" customWidth="1"/>
    <col min="5" max="5" width="15.28515625" bestFit="1" customWidth="1"/>
    <col min="6" max="6" width="15.42578125" bestFit="1" customWidth="1"/>
    <col min="7" max="7" width="9.7109375" bestFit="1" customWidth="1"/>
    <col min="8" max="8" width="17.42578125" bestFit="1" customWidth="1"/>
    <col min="9" max="9" width="2.5703125" customWidth="1"/>
    <col min="10" max="10" width="23.28515625" bestFit="1" customWidth="1"/>
    <col min="11" max="11" width="18.42578125" bestFit="1" customWidth="1"/>
  </cols>
  <sheetData>
    <row r="1" spans="1:11" ht="30" customHeight="1" x14ac:dyDescent="0.2">
      <c r="A1" s="25" t="s">
        <v>117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3" spans="1:11" ht="25.5" customHeight="1" x14ac:dyDescent="0.25">
      <c r="A3" s="30" t="s">
        <v>118</v>
      </c>
      <c r="B3" s="26"/>
      <c r="C3" s="26"/>
      <c r="D3" s="26"/>
      <c r="E3" s="26"/>
      <c r="F3" s="26"/>
      <c r="G3" s="26"/>
      <c r="H3" s="26"/>
      <c r="J3" s="15" t="s">
        <v>119</v>
      </c>
    </row>
    <row r="4" spans="1:11" ht="28.5" customHeight="1" x14ac:dyDescent="0.25">
      <c r="A4" s="8" t="s">
        <v>96</v>
      </c>
      <c r="B4" s="8" t="s">
        <v>120</v>
      </c>
      <c r="C4" s="8" t="s">
        <v>121</v>
      </c>
      <c r="D4" s="8" t="s">
        <v>122</v>
      </c>
      <c r="E4" s="8" t="s">
        <v>123</v>
      </c>
      <c r="F4" s="8" t="s">
        <v>124</v>
      </c>
      <c r="G4" s="8" t="s">
        <v>125</v>
      </c>
      <c r="H4" s="8" t="s">
        <v>126</v>
      </c>
      <c r="J4" s="16" t="s">
        <v>127</v>
      </c>
      <c r="K4" s="17">
        <f>AVERAGE(H5:H16)</f>
        <v>850000</v>
      </c>
    </row>
    <row r="5" spans="1:11" ht="28.5" customHeight="1" x14ac:dyDescent="0.25">
      <c r="A5" s="9">
        <v>46047</v>
      </c>
      <c r="B5" s="3">
        <v>2</v>
      </c>
      <c r="C5" s="4">
        <v>8500</v>
      </c>
      <c r="D5" s="4">
        <f t="shared" ref="D5:D16" si="0">C5*12*1.5</f>
        <v>153000</v>
      </c>
      <c r="E5" s="4">
        <f t="shared" ref="E5:E16" si="1">B5*D5</f>
        <v>306000</v>
      </c>
      <c r="F5" s="4">
        <f>E5</f>
        <v>306000</v>
      </c>
      <c r="G5" s="10">
        <f t="shared" ref="G5:G16" si="2">(E5/H5)*100</f>
        <v>36</v>
      </c>
      <c r="H5" s="4">
        <v>850000</v>
      </c>
      <c r="J5" s="16" t="s">
        <v>128</v>
      </c>
      <c r="K5" s="17">
        <f>F17</f>
        <v>4896000</v>
      </c>
    </row>
    <row r="6" spans="1:11" ht="28.5" customHeight="1" x14ac:dyDescent="0.25">
      <c r="A6" s="11">
        <v>46078</v>
      </c>
      <c r="B6" s="6">
        <v>4</v>
      </c>
      <c r="C6" s="7">
        <v>8500</v>
      </c>
      <c r="D6" s="4">
        <f t="shared" si="0"/>
        <v>153000</v>
      </c>
      <c r="E6" s="7">
        <f t="shared" si="1"/>
        <v>612000</v>
      </c>
      <c r="F6" s="7">
        <f t="shared" ref="F6:F16" si="3">F5+E6</f>
        <v>918000</v>
      </c>
      <c r="G6" s="12">
        <f t="shared" si="2"/>
        <v>72</v>
      </c>
      <c r="H6" s="7">
        <v>850000</v>
      </c>
      <c r="J6" s="16" t="s">
        <v>129</v>
      </c>
      <c r="K6" s="18">
        <f>F17/SUM(H5:H16)*100</f>
        <v>48</v>
      </c>
    </row>
    <row r="7" spans="1:11" ht="28.5" customHeight="1" x14ac:dyDescent="0.25">
      <c r="A7" s="9">
        <v>46106</v>
      </c>
      <c r="B7" s="3">
        <v>1</v>
      </c>
      <c r="C7" s="4">
        <v>8500</v>
      </c>
      <c r="D7" s="4">
        <f t="shared" si="0"/>
        <v>153000</v>
      </c>
      <c r="E7" s="4">
        <f t="shared" si="1"/>
        <v>153000</v>
      </c>
      <c r="F7" s="4">
        <f t="shared" si="3"/>
        <v>1071000</v>
      </c>
      <c r="G7" s="10">
        <f t="shared" si="2"/>
        <v>18</v>
      </c>
      <c r="H7" s="4">
        <v>850000</v>
      </c>
      <c r="J7" s="16" t="s">
        <v>130</v>
      </c>
      <c r="K7" s="17">
        <f>AVERAGE(D21:D32)</f>
        <v>10586.820909628981</v>
      </c>
    </row>
    <row r="8" spans="1:11" ht="28.5" customHeight="1" x14ac:dyDescent="0.25">
      <c r="A8" s="11">
        <v>46137</v>
      </c>
      <c r="B8" s="6">
        <v>3</v>
      </c>
      <c r="C8" s="7">
        <v>8500</v>
      </c>
      <c r="D8" s="4">
        <f t="shared" si="0"/>
        <v>153000</v>
      </c>
      <c r="E8" s="7">
        <f t="shared" si="1"/>
        <v>459000</v>
      </c>
      <c r="F8" s="7">
        <f t="shared" si="3"/>
        <v>1530000</v>
      </c>
      <c r="G8" s="12">
        <f t="shared" si="2"/>
        <v>54</v>
      </c>
      <c r="H8" s="7">
        <v>850000</v>
      </c>
      <c r="J8" s="16" t="s">
        <v>131</v>
      </c>
      <c r="K8" s="18">
        <f>AVERAGE(D37:D48)</f>
        <v>86.968288061554333</v>
      </c>
    </row>
    <row r="9" spans="1:11" ht="28.5" customHeight="1" x14ac:dyDescent="0.25">
      <c r="A9" s="9">
        <v>46167</v>
      </c>
      <c r="B9" s="3">
        <v>2</v>
      </c>
      <c r="C9" s="4">
        <v>8500</v>
      </c>
      <c r="D9" s="4">
        <f t="shared" si="0"/>
        <v>153000</v>
      </c>
      <c r="E9" s="4">
        <f t="shared" si="1"/>
        <v>306000</v>
      </c>
      <c r="F9" s="4">
        <f t="shared" si="3"/>
        <v>1836000</v>
      </c>
      <c r="G9" s="10">
        <f t="shared" si="2"/>
        <v>36</v>
      </c>
      <c r="H9" s="4">
        <v>850000</v>
      </c>
      <c r="J9" s="16" t="s">
        <v>132</v>
      </c>
      <c r="K9" s="17">
        <f>SUM(B37:B48)</f>
        <v>187000</v>
      </c>
    </row>
    <row r="10" spans="1:11" ht="28.5" customHeight="1" x14ac:dyDescent="0.25">
      <c r="A10" s="11">
        <v>46198</v>
      </c>
      <c r="B10" s="6">
        <v>5</v>
      </c>
      <c r="C10" s="7">
        <v>8500</v>
      </c>
      <c r="D10" s="4">
        <f t="shared" si="0"/>
        <v>153000</v>
      </c>
      <c r="E10" s="7">
        <f t="shared" si="1"/>
        <v>765000</v>
      </c>
      <c r="F10" s="7">
        <f t="shared" si="3"/>
        <v>2601000</v>
      </c>
      <c r="G10" s="12">
        <f t="shared" si="2"/>
        <v>90</v>
      </c>
      <c r="H10" s="7">
        <v>850000</v>
      </c>
      <c r="J10" s="16" t="s">
        <v>133</v>
      </c>
      <c r="K10" s="17">
        <f>SUM(C37:C48)</f>
        <v>350000</v>
      </c>
    </row>
    <row r="11" spans="1:11" ht="12.75" x14ac:dyDescent="0.2">
      <c r="A11" s="9">
        <v>46228</v>
      </c>
      <c r="B11" s="3">
        <v>2</v>
      </c>
      <c r="C11" s="4">
        <v>8500</v>
      </c>
      <c r="D11" s="4">
        <f t="shared" si="0"/>
        <v>153000</v>
      </c>
      <c r="E11" s="4">
        <f t="shared" si="1"/>
        <v>306000</v>
      </c>
      <c r="F11" s="4">
        <f t="shared" si="3"/>
        <v>2907000</v>
      </c>
      <c r="G11" s="10">
        <f t="shared" si="2"/>
        <v>36</v>
      </c>
      <c r="H11" s="4">
        <v>850000</v>
      </c>
    </row>
    <row r="12" spans="1:11" ht="12.75" x14ac:dyDescent="0.2">
      <c r="A12" s="11">
        <v>46259</v>
      </c>
      <c r="B12" s="6">
        <v>3</v>
      </c>
      <c r="C12" s="7">
        <v>8500</v>
      </c>
      <c r="D12" s="4">
        <f t="shared" si="0"/>
        <v>153000</v>
      </c>
      <c r="E12" s="7">
        <f t="shared" si="1"/>
        <v>459000</v>
      </c>
      <c r="F12" s="7">
        <f t="shared" si="3"/>
        <v>3366000</v>
      </c>
      <c r="G12" s="12">
        <f t="shared" si="2"/>
        <v>54</v>
      </c>
      <c r="H12" s="7">
        <v>850000</v>
      </c>
    </row>
    <row r="13" spans="1:11" ht="12.75" x14ac:dyDescent="0.2">
      <c r="A13" s="9">
        <v>46290</v>
      </c>
      <c r="B13" s="3">
        <v>1</v>
      </c>
      <c r="C13" s="4">
        <v>8500</v>
      </c>
      <c r="D13" s="4">
        <f t="shared" si="0"/>
        <v>153000</v>
      </c>
      <c r="E13" s="4">
        <f t="shared" si="1"/>
        <v>153000</v>
      </c>
      <c r="F13" s="4">
        <f t="shared" si="3"/>
        <v>3519000</v>
      </c>
      <c r="G13" s="10">
        <f t="shared" si="2"/>
        <v>18</v>
      </c>
      <c r="H13" s="4">
        <v>850000</v>
      </c>
    </row>
    <row r="14" spans="1:11" ht="12.75" x14ac:dyDescent="0.2">
      <c r="A14" s="11">
        <v>46320</v>
      </c>
      <c r="B14" s="6">
        <v>4</v>
      </c>
      <c r="C14" s="7">
        <v>8500</v>
      </c>
      <c r="D14" s="4">
        <f t="shared" si="0"/>
        <v>153000</v>
      </c>
      <c r="E14" s="7">
        <f t="shared" si="1"/>
        <v>612000</v>
      </c>
      <c r="F14" s="7">
        <f t="shared" si="3"/>
        <v>4131000</v>
      </c>
      <c r="G14" s="12">
        <f t="shared" si="2"/>
        <v>72</v>
      </c>
      <c r="H14" s="7">
        <v>850000</v>
      </c>
    </row>
    <row r="15" spans="1:11" ht="12.75" x14ac:dyDescent="0.2">
      <c r="A15" s="9">
        <v>46351</v>
      </c>
      <c r="B15" s="3">
        <v>2</v>
      </c>
      <c r="C15" s="4">
        <v>8500</v>
      </c>
      <c r="D15" s="4">
        <f t="shared" si="0"/>
        <v>153000</v>
      </c>
      <c r="E15" s="4">
        <f t="shared" si="1"/>
        <v>306000</v>
      </c>
      <c r="F15" s="4">
        <f t="shared" si="3"/>
        <v>4437000</v>
      </c>
      <c r="G15" s="10">
        <f t="shared" si="2"/>
        <v>36</v>
      </c>
      <c r="H15" s="4">
        <v>850000</v>
      </c>
    </row>
    <row r="16" spans="1:11" ht="12.75" x14ac:dyDescent="0.2">
      <c r="A16" s="11">
        <v>46381</v>
      </c>
      <c r="B16" s="6">
        <v>3</v>
      </c>
      <c r="C16" s="7">
        <v>8500</v>
      </c>
      <c r="D16" s="4">
        <f t="shared" si="0"/>
        <v>153000</v>
      </c>
      <c r="E16" s="7">
        <f t="shared" si="1"/>
        <v>459000</v>
      </c>
      <c r="F16" s="7">
        <f t="shared" si="3"/>
        <v>4896000</v>
      </c>
      <c r="G16" s="12">
        <f t="shared" si="2"/>
        <v>54</v>
      </c>
      <c r="H16" s="7">
        <v>850000</v>
      </c>
    </row>
    <row r="17" spans="1:8" ht="12.75" x14ac:dyDescent="0.2">
      <c r="A17" s="19" t="s">
        <v>134</v>
      </c>
      <c r="B17" s="19">
        <f>SUM(B5:B16)</f>
        <v>32</v>
      </c>
      <c r="E17" s="20">
        <f>SUM(E5:E16)</f>
        <v>4896000</v>
      </c>
      <c r="F17" s="20">
        <f>F16</f>
        <v>4896000</v>
      </c>
      <c r="G17" s="21">
        <f>SUM(G5:G16)</f>
        <v>576</v>
      </c>
    </row>
    <row r="19" spans="1:8" ht="25.5" customHeight="1" x14ac:dyDescent="0.2">
      <c r="A19" s="31" t="s">
        <v>135</v>
      </c>
      <c r="B19" s="26"/>
      <c r="C19" s="26"/>
      <c r="D19" s="26"/>
      <c r="E19" s="26"/>
      <c r="F19" s="26"/>
      <c r="G19" s="26"/>
      <c r="H19" s="26"/>
    </row>
    <row r="20" spans="1:8" ht="27" customHeight="1" x14ac:dyDescent="0.2">
      <c r="A20" s="8" t="s">
        <v>96</v>
      </c>
      <c r="B20" s="8" t="s">
        <v>136</v>
      </c>
      <c r="C20" s="8" t="s">
        <v>137</v>
      </c>
      <c r="D20" s="8" t="s">
        <v>138</v>
      </c>
      <c r="E20" s="8" t="s">
        <v>139</v>
      </c>
      <c r="F20" s="8" t="s">
        <v>140</v>
      </c>
      <c r="G20" s="8" t="s">
        <v>141</v>
      </c>
      <c r="H20" s="8" t="s">
        <v>7</v>
      </c>
    </row>
    <row r="21" spans="1:8" ht="12.75" x14ac:dyDescent="0.2">
      <c r="A21" s="9">
        <v>46047</v>
      </c>
      <c r="B21" s="4">
        <v>1200000</v>
      </c>
      <c r="C21" s="3">
        <v>122</v>
      </c>
      <c r="D21" s="4">
        <f t="shared" ref="D21:D32" si="4">B21/C21</f>
        <v>9836.065573770491</v>
      </c>
      <c r="E21" s="4">
        <v>10000</v>
      </c>
      <c r="F21" s="4">
        <f t="shared" ref="F21:F32" si="5">D21-E21</f>
        <v>-163.93442622950897</v>
      </c>
      <c r="G21" s="10">
        <f t="shared" ref="G21:G32" si="6">((D21-E21)/E21)*100</f>
        <v>-1.6393442622950898</v>
      </c>
      <c r="H21" s="3" t="str">
        <f t="shared" ref="H21:H32" si="7">IF(D21&gt;=E21,"✅ Meta atingida","⚠️ Abaixo da meta")</f>
        <v>⚠️ Abaixo da meta</v>
      </c>
    </row>
    <row r="22" spans="1:8" ht="12.75" x14ac:dyDescent="0.2">
      <c r="A22" s="11">
        <v>46078</v>
      </c>
      <c r="B22" s="7">
        <v>1150000</v>
      </c>
      <c r="C22" s="6">
        <v>120</v>
      </c>
      <c r="D22" s="7">
        <f t="shared" si="4"/>
        <v>9583.3333333333339</v>
      </c>
      <c r="E22" s="7">
        <v>10000</v>
      </c>
      <c r="F22" s="7">
        <f t="shared" si="5"/>
        <v>-416.66666666666606</v>
      </c>
      <c r="G22" s="12">
        <f t="shared" si="6"/>
        <v>-4.1666666666666607</v>
      </c>
      <c r="H22" s="3" t="str">
        <f t="shared" si="7"/>
        <v>⚠️ Abaixo da meta</v>
      </c>
    </row>
    <row r="23" spans="1:8" ht="12.75" x14ac:dyDescent="0.2">
      <c r="A23" s="9">
        <v>46106</v>
      </c>
      <c r="B23" s="4">
        <v>1300000</v>
      </c>
      <c r="C23" s="3">
        <v>124</v>
      </c>
      <c r="D23" s="4">
        <f t="shared" si="4"/>
        <v>10483.870967741936</v>
      </c>
      <c r="E23" s="4">
        <v>10000</v>
      </c>
      <c r="F23" s="4">
        <f t="shared" si="5"/>
        <v>483.8709677419356</v>
      </c>
      <c r="G23" s="10">
        <f t="shared" si="6"/>
        <v>4.8387096774193559</v>
      </c>
      <c r="H23" s="3" t="str">
        <f t="shared" si="7"/>
        <v>✅ Meta atingida</v>
      </c>
    </row>
    <row r="24" spans="1:8" ht="12.75" x14ac:dyDescent="0.2">
      <c r="A24" s="11">
        <v>46137</v>
      </c>
      <c r="B24" s="7">
        <v>1180000</v>
      </c>
      <c r="C24" s="6">
        <v>122</v>
      </c>
      <c r="D24" s="7">
        <f t="shared" si="4"/>
        <v>9672.1311475409839</v>
      </c>
      <c r="E24" s="7">
        <v>10000</v>
      </c>
      <c r="F24" s="7">
        <f t="shared" si="5"/>
        <v>-327.86885245901613</v>
      </c>
      <c r="G24" s="12">
        <f t="shared" si="6"/>
        <v>-3.2786885245901614</v>
      </c>
      <c r="H24" s="3" t="str">
        <f t="shared" si="7"/>
        <v>⚠️ Abaixo da meta</v>
      </c>
    </row>
    <row r="25" spans="1:8" ht="12.75" x14ac:dyDescent="0.2">
      <c r="A25" s="9">
        <v>46167</v>
      </c>
      <c r="B25" s="4">
        <v>1350000</v>
      </c>
      <c r="C25" s="3">
        <v>125</v>
      </c>
      <c r="D25" s="4">
        <f t="shared" si="4"/>
        <v>10800</v>
      </c>
      <c r="E25" s="4">
        <v>10000</v>
      </c>
      <c r="F25" s="4">
        <f t="shared" si="5"/>
        <v>800</v>
      </c>
      <c r="G25" s="10">
        <f t="shared" si="6"/>
        <v>8</v>
      </c>
      <c r="H25" s="3" t="str">
        <f t="shared" si="7"/>
        <v>✅ Meta atingida</v>
      </c>
    </row>
    <row r="26" spans="1:8" ht="12.75" x14ac:dyDescent="0.2">
      <c r="A26" s="11">
        <v>46198</v>
      </c>
      <c r="B26" s="7">
        <v>1280000</v>
      </c>
      <c r="C26" s="6">
        <v>123</v>
      </c>
      <c r="D26" s="7">
        <f t="shared" si="4"/>
        <v>10406.50406504065</v>
      </c>
      <c r="E26" s="7">
        <v>10000</v>
      </c>
      <c r="F26" s="7">
        <f t="shared" si="5"/>
        <v>406.50406504064995</v>
      </c>
      <c r="G26" s="12">
        <f t="shared" si="6"/>
        <v>4.0650406504065</v>
      </c>
      <c r="H26" s="3" t="str">
        <f t="shared" si="7"/>
        <v>✅ Meta atingida</v>
      </c>
    </row>
    <row r="27" spans="1:8" ht="12.75" x14ac:dyDescent="0.2">
      <c r="A27" s="9">
        <v>46228</v>
      </c>
      <c r="B27" s="4">
        <v>1310000</v>
      </c>
      <c r="C27" s="3">
        <v>122</v>
      </c>
      <c r="D27" s="4">
        <f t="shared" si="4"/>
        <v>10737.704918032787</v>
      </c>
      <c r="E27" s="4">
        <v>10000</v>
      </c>
      <c r="F27" s="4">
        <f t="shared" si="5"/>
        <v>737.70491803278674</v>
      </c>
      <c r="G27" s="10">
        <f t="shared" si="6"/>
        <v>7.3770491803278677</v>
      </c>
      <c r="H27" s="3" t="str">
        <f t="shared" si="7"/>
        <v>✅ Meta atingida</v>
      </c>
    </row>
    <row r="28" spans="1:8" ht="12.75" x14ac:dyDescent="0.2">
      <c r="A28" s="11">
        <v>46259</v>
      </c>
      <c r="B28" s="7">
        <v>1290000</v>
      </c>
      <c r="C28" s="6">
        <v>122</v>
      </c>
      <c r="D28" s="7">
        <f t="shared" si="4"/>
        <v>10573.77049180328</v>
      </c>
      <c r="E28" s="7">
        <v>10000</v>
      </c>
      <c r="F28" s="7">
        <f t="shared" si="5"/>
        <v>573.77049180327958</v>
      </c>
      <c r="G28" s="12">
        <f t="shared" si="6"/>
        <v>5.7377049180327964</v>
      </c>
      <c r="H28" s="3" t="str">
        <f t="shared" si="7"/>
        <v>✅ Meta atingida</v>
      </c>
    </row>
    <row r="29" spans="1:8" ht="12.75" x14ac:dyDescent="0.2">
      <c r="A29" s="9">
        <v>46290</v>
      </c>
      <c r="B29" s="4">
        <v>1400000</v>
      </c>
      <c r="C29" s="3">
        <v>122</v>
      </c>
      <c r="D29" s="4">
        <f t="shared" si="4"/>
        <v>11475.409836065573</v>
      </c>
      <c r="E29" s="4">
        <v>10000</v>
      </c>
      <c r="F29" s="4">
        <f t="shared" si="5"/>
        <v>1475.4098360655735</v>
      </c>
      <c r="G29" s="10">
        <f t="shared" si="6"/>
        <v>14.754098360655735</v>
      </c>
      <c r="H29" s="3" t="str">
        <f t="shared" si="7"/>
        <v>✅ Meta atingida</v>
      </c>
    </row>
    <row r="30" spans="1:8" ht="12.75" x14ac:dyDescent="0.2">
      <c r="A30" s="11">
        <v>46320</v>
      </c>
      <c r="B30" s="7">
        <v>1320000</v>
      </c>
      <c r="C30" s="6">
        <v>125</v>
      </c>
      <c r="D30" s="7">
        <f t="shared" si="4"/>
        <v>10560</v>
      </c>
      <c r="E30" s="7">
        <v>10000</v>
      </c>
      <c r="F30" s="7">
        <f t="shared" si="5"/>
        <v>560</v>
      </c>
      <c r="G30" s="12">
        <f t="shared" si="6"/>
        <v>5.6000000000000005</v>
      </c>
      <c r="H30" s="3" t="str">
        <f t="shared" si="7"/>
        <v>✅ Meta atingida</v>
      </c>
    </row>
    <row r="31" spans="1:8" ht="12.75" x14ac:dyDescent="0.2">
      <c r="A31" s="9">
        <v>46351</v>
      </c>
      <c r="B31" s="4">
        <v>1380000</v>
      </c>
      <c r="C31" s="3">
        <v>123</v>
      </c>
      <c r="D31" s="4">
        <f t="shared" si="4"/>
        <v>11219.512195121952</v>
      </c>
      <c r="E31" s="4">
        <v>10000</v>
      </c>
      <c r="F31" s="4">
        <f t="shared" si="5"/>
        <v>1219.5121951219517</v>
      </c>
      <c r="G31" s="10">
        <f t="shared" si="6"/>
        <v>12.195121951219516</v>
      </c>
      <c r="H31" s="3" t="str">
        <f t="shared" si="7"/>
        <v>✅ Meta atingida</v>
      </c>
    </row>
    <row r="32" spans="1:8" ht="12.75" x14ac:dyDescent="0.2">
      <c r="A32" s="11">
        <v>46381</v>
      </c>
      <c r="B32" s="7">
        <v>1450000</v>
      </c>
      <c r="C32" s="6">
        <v>124</v>
      </c>
      <c r="D32" s="7">
        <f t="shared" si="4"/>
        <v>11693.548387096775</v>
      </c>
      <c r="E32" s="7">
        <v>10000</v>
      </c>
      <c r="F32" s="7">
        <f t="shared" si="5"/>
        <v>1693.5483870967746</v>
      </c>
      <c r="G32" s="12">
        <f t="shared" si="6"/>
        <v>16.935483870967747</v>
      </c>
      <c r="H32" s="3" t="str">
        <f t="shared" si="7"/>
        <v>✅ Meta atingida</v>
      </c>
    </row>
    <row r="35" spans="1:6" ht="25.5" customHeight="1" x14ac:dyDescent="0.2">
      <c r="A35" s="29" t="s">
        <v>142</v>
      </c>
      <c r="B35" s="26"/>
      <c r="C35" s="26"/>
      <c r="D35" s="26"/>
      <c r="E35" s="26"/>
      <c r="F35" s="26"/>
    </row>
    <row r="36" spans="1:6" ht="27" customHeight="1" x14ac:dyDescent="0.2">
      <c r="A36" s="8" t="s">
        <v>96</v>
      </c>
      <c r="B36" s="8" t="s">
        <v>143</v>
      </c>
      <c r="C36" s="8" t="s">
        <v>144</v>
      </c>
      <c r="D36" s="8" t="s">
        <v>145</v>
      </c>
      <c r="E36" s="8" t="s">
        <v>146</v>
      </c>
      <c r="F36" s="8" t="s">
        <v>147</v>
      </c>
    </row>
    <row r="37" spans="1:6" ht="12.75" x14ac:dyDescent="0.2">
      <c r="A37" s="9">
        <v>46047</v>
      </c>
      <c r="B37" s="4">
        <v>15000</v>
      </c>
      <c r="C37" s="4">
        <v>28000</v>
      </c>
      <c r="D37" s="10">
        <f t="shared" ref="D37:D48" si="8">((C37-B37)/B37)*100</f>
        <v>86.666666666666671</v>
      </c>
      <c r="E37" s="13">
        <f t="shared" ref="E37:E48" si="9">(B37/C37)*12</f>
        <v>6.4285714285714288</v>
      </c>
      <c r="F37" s="3" t="str">
        <f t="shared" ref="F37:F48" si="10">IF(D37&gt;=50,"🟢 Excelente",IF(D37&gt;=20,"🟡 Bom","🔴 Revisar"))</f>
        <v>🟢 Excelente</v>
      </c>
    </row>
    <row r="38" spans="1:6" ht="12.75" x14ac:dyDescent="0.2">
      <c r="A38" s="11">
        <v>46078</v>
      </c>
      <c r="B38" s="7">
        <v>12000</v>
      </c>
      <c r="C38" s="7">
        <v>22000</v>
      </c>
      <c r="D38" s="12">
        <f t="shared" si="8"/>
        <v>83.333333333333343</v>
      </c>
      <c r="E38" s="14">
        <f t="shared" si="9"/>
        <v>6.545454545454545</v>
      </c>
      <c r="F38" s="3" t="str">
        <f t="shared" si="10"/>
        <v>🟢 Excelente</v>
      </c>
    </row>
    <row r="39" spans="1:6" ht="12.75" x14ac:dyDescent="0.2">
      <c r="A39" s="9">
        <v>46106</v>
      </c>
      <c r="B39" s="4">
        <v>18000</v>
      </c>
      <c r="C39" s="4">
        <v>35000</v>
      </c>
      <c r="D39" s="10">
        <f t="shared" si="8"/>
        <v>94.444444444444443</v>
      </c>
      <c r="E39" s="13">
        <f t="shared" si="9"/>
        <v>6.1714285714285708</v>
      </c>
      <c r="F39" s="3" t="str">
        <f t="shared" si="10"/>
        <v>🟢 Excelente</v>
      </c>
    </row>
    <row r="40" spans="1:6" ht="12.75" x14ac:dyDescent="0.2">
      <c r="A40" s="11">
        <v>46137</v>
      </c>
      <c r="B40" s="7">
        <v>10000</v>
      </c>
      <c r="C40" s="7">
        <v>19000</v>
      </c>
      <c r="D40" s="12">
        <f t="shared" si="8"/>
        <v>90</v>
      </c>
      <c r="E40" s="14">
        <f t="shared" si="9"/>
        <v>6.3157894736842106</v>
      </c>
      <c r="F40" s="3" t="str">
        <f t="shared" si="10"/>
        <v>🟢 Excelente</v>
      </c>
    </row>
    <row r="41" spans="1:6" ht="12.75" x14ac:dyDescent="0.2">
      <c r="A41" s="9">
        <v>46167</v>
      </c>
      <c r="B41" s="4">
        <v>22000</v>
      </c>
      <c r="C41" s="4">
        <v>40000</v>
      </c>
      <c r="D41" s="10">
        <f t="shared" si="8"/>
        <v>81.818181818181827</v>
      </c>
      <c r="E41" s="13">
        <f t="shared" si="9"/>
        <v>6.6000000000000005</v>
      </c>
      <c r="F41" s="3" t="str">
        <f t="shared" si="10"/>
        <v>🟢 Excelente</v>
      </c>
    </row>
    <row r="42" spans="1:6" ht="12.75" x14ac:dyDescent="0.2">
      <c r="A42" s="11">
        <v>46198</v>
      </c>
      <c r="B42" s="7">
        <v>14000</v>
      </c>
      <c r="C42" s="7">
        <v>26000</v>
      </c>
      <c r="D42" s="12">
        <f t="shared" si="8"/>
        <v>85.714285714285708</v>
      </c>
      <c r="E42" s="14">
        <f t="shared" si="9"/>
        <v>6.4615384615384617</v>
      </c>
      <c r="F42" s="3" t="str">
        <f t="shared" si="10"/>
        <v>🟢 Excelente</v>
      </c>
    </row>
    <row r="43" spans="1:6" ht="12.75" x14ac:dyDescent="0.2">
      <c r="A43" s="9">
        <v>46228</v>
      </c>
      <c r="B43" s="4">
        <v>16000</v>
      </c>
      <c r="C43" s="4">
        <v>30000</v>
      </c>
      <c r="D43" s="10">
        <f t="shared" si="8"/>
        <v>87.5</v>
      </c>
      <c r="E43" s="13">
        <f t="shared" si="9"/>
        <v>6.4</v>
      </c>
      <c r="F43" s="3" t="str">
        <f t="shared" si="10"/>
        <v>🟢 Excelente</v>
      </c>
    </row>
    <row r="44" spans="1:6" ht="12.75" x14ac:dyDescent="0.2">
      <c r="A44" s="11">
        <v>46259</v>
      </c>
      <c r="B44" s="7">
        <v>13000</v>
      </c>
      <c r="C44" s="7">
        <v>24000</v>
      </c>
      <c r="D44" s="12">
        <f t="shared" si="8"/>
        <v>84.615384615384613</v>
      </c>
      <c r="E44" s="14">
        <f t="shared" si="9"/>
        <v>6.5</v>
      </c>
      <c r="F44" s="3" t="str">
        <f t="shared" si="10"/>
        <v>🟢 Excelente</v>
      </c>
    </row>
    <row r="45" spans="1:6" ht="12.75" x14ac:dyDescent="0.2">
      <c r="A45" s="9">
        <v>46290</v>
      </c>
      <c r="B45" s="4">
        <v>20000</v>
      </c>
      <c r="C45" s="4">
        <v>38000</v>
      </c>
      <c r="D45" s="10">
        <f t="shared" si="8"/>
        <v>90</v>
      </c>
      <c r="E45" s="13">
        <f t="shared" si="9"/>
        <v>6.3157894736842106</v>
      </c>
      <c r="F45" s="3" t="str">
        <f t="shared" si="10"/>
        <v>🟢 Excelente</v>
      </c>
    </row>
    <row r="46" spans="1:6" ht="12.75" x14ac:dyDescent="0.2">
      <c r="A46" s="11">
        <v>46320</v>
      </c>
      <c r="B46" s="7">
        <v>11000</v>
      </c>
      <c r="C46" s="7">
        <v>20000</v>
      </c>
      <c r="D46" s="12">
        <f t="shared" si="8"/>
        <v>81.818181818181827</v>
      </c>
      <c r="E46" s="14">
        <f t="shared" si="9"/>
        <v>6.6000000000000005</v>
      </c>
      <c r="F46" s="3" t="str">
        <f t="shared" si="10"/>
        <v>🟢 Excelente</v>
      </c>
    </row>
    <row r="47" spans="1:6" ht="12.75" x14ac:dyDescent="0.2">
      <c r="A47" s="9">
        <v>46351</v>
      </c>
      <c r="B47" s="4">
        <v>17000</v>
      </c>
      <c r="C47" s="4">
        <v>32000</v>
      </c>
      <c r="D47" s="10">
        <f t="shared" si="8"/>
        <v>88.235294117647058</v>
      </c>
      <c r="E47" s="13">
        <f t="shared" si="9"/>
        <v>6.375</v>
      </c>
      <c r="F47" s="3" t="str">
        <f t="shared" si="10"/>
        <v>🟢 Excelente</v>
      </c>
    </row>
    <row r="48" spans="1:6" ht="12.75" x14ac:dyDescent="0.2">
      <c r="A48" s="11">
        <v>46381</v>
      </c>
      <c r="B48" s="7">
        <v>19000</v>
      </c>
      <c r="C48" s="7">
        <v>36000</v>
      </c>
      <c r="D48" s="12">
        <f t="shared" si="8"/>
        <v>89.473684210526315</v>
      </c>
      <c r="E48" s="14">
        <f t="shared" si="9"/>
        <v>6.3333333333333339</v>
      </c>
      <c r="F48" s="3" t="str">
        <f t="shared" si="10"/>
        <v>🟢 Excelente</v>
      </c>
    </row>
  </sheetData>
  <mergeCells count="4">
    <mergeCell ref="A1:K1"/>
    <mergeCell ref="A3:H3"/>
    <mergeCell ref="A19:H19"/>
    <mergeCell ref="A35:F3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A57A"/>
    <outlinePr summaryBelow="0" summaryRight="0"/>
  </sheetPr>
  <dimension ref="A1:P41"/>
  <sheetViews>
    <sheetView showGridLines="0" tabSelected="1" workbookViewId="0">
      <pane ySplit="2" topLeftCell="A3" activePane="bottomLeft" state="frozen"/>
      <selection pane="bottomLeft" activeCell="M37" sqref="M37"/>
    </sheetView>
  </sheetViews>
  <sheetFormatPr defaultColWidth="12.5703125" defaultRowHeight="15.75" customHeight="1" x14ac:dyDescent="0.2"/>
  <cols>
    <col min="1" max="6" width="11.5703125" customWidth="1"/>
    <col min="7" max="7" width="13.7109375" bestFit="1" customWidth="1"/>
    <col min="8" max="16" width="11.5703125" customWidth="1"/>
  </cols>
  <sheetData>
    <row r="1" spans="1:16" ht="39" customHeight="1" x14ac:dyDescent="0.2">
      <c r="A1" s="32" t="s">
        <v>148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19.5" customHeight="1" x14ac:dyDescent="0.2">
      <c r="A2" s="33" t="s">
        <v>149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4" spans="1:16" ht="21" customHeight="1" x14ac:dyDescent="0.2">
      <c r="C4" s="34" t="s">
        <v>150</v>
      </c>
      <c r="D4" s="26"/>
      <c r="E4" s="34" t="s">
        <v>151</v>
      </c>
      <c r="F4" s="26"/>
      <c r="G4" s="34" t="s">
        <v>152</v>
      </c>
      <c r="H4" s="26"/>
      <c r="I4" s="34" t="s">
        <v>153</v>
      </c>
      <c r="J4" s="26"/>
      <c r="K4" s="34" t="s">
        <v>154</v>
      </c>
      <c r="L4" s="26"/>
      <c r="M4" s="34" t="s">
        <v>155</v>
      </c>
      <c r="N4" s="26"/>
    </row>
    <row r="5" spans="1:16" ht="36" customHeight="1" x14ac:dyDescent="0.2">
      <c r="C5" s="42">
        <f>'📊 Indicadores Críticos'!F16</f>
        <v>1.6129032258064515</v>
      </c>
      <c r="D5" s="26"/>
      <c r="E5" s="43">
        <f>'📊 Indicadores Críticos'!H48</f>
        <v>46.808510638297875</v>
      </c>
      <c r="F5" s="26"/>
      <c r="G5" s="44">
        <f>AVERAGE('📊 Indicadores Críticos'!D21:D32)</f>
        <v>2.095959595959596</v>
      </c>
      <c r="H5" s="26"/>
      <c r="I5" s="45">
        <f>'💰 Financeiro &amp; EBITDA'!F17</f>
        <v>4896000</v>
      </c>
      <c r="J5" s="26"/>
      <c r="K5" s="46">
        <f>AVERAGE('💰 Financeiro &amp; EBITDA'!D21:D32)</f>
        <v>10586.820909628981</v>
      </c>
      <c r="L5" s="26"/>
      <c r="M5" s="43">
        <f>AVERAGE('💰 Financeiro &amp; EBITDA'!D37:D48)</f>
        <v>86.968288061554333</v>
      </c>
      <c r="N5" s="26"/>
    </row>
    <row r="6" spans="1:16" ht="36" customHeight="1" x14ac:dyDescent="0.2"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6" ht="16.5" customHeight="1" x14ac:dyDescent="0.2">
      <c r="A7" s="35" t="s">
        <v>156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ht="24" customHeight="1" x14ac:dyDescent="0.2">
      <c r="A8" s="36" t="s">
        <v>157</v>
      </c>
      <c r="B8" s="26"/>
      <c r="C8" s="26"/>
      <c r="D8" s="26"/>
      <c r="E8" s="26"/>
      <c r="F8" s="26"/>
      <c r="G8" s="26"/>
      <c r="I8" s="37" t="s">
        <v>158</v>
      </c>
      <c r="J8" s="26"/>
      <c r="K8" s="26"/>
      <c r="L8" s="26"/>
      <c r="M8" s="26"/>
      <c r="N8" s="26"/>
      <c r="O8" s="26"/>
    </row>
    <row r="9" spans="1:16" ht="56.25" customHeight="1" x14ac:dyDescent="0.2">
      <c r="A9" s="22"/>
      <c r="B9" s="22"/>
      <c r="C9" s="22"/>
      <c r="D9" s="22"/>
      <c r="E9" s="22"/>
      <c r="F9" s="22"/>
      <c r="G9" s="22"/>
      <c r="I9" s="22"/>
      <c r="J9" s="22"/>
      <c r="K9" s="22"/>
      <c r="L9" s="22"/>
      <c r="M9" s="22"/>
      <c r="N9" s="22"/>
      <c r="O9" s="22"/>
    </row>
    <row r="10" spans="1:16" ht="43.5" customHeight="1" x14ac:dyDescent="0.2">
      <c r="A10" s="23"/>
      <c r="B10" s="23"/>
      <c r="C10" s="23"/>
      <c r="D10" s="23"/>
      <c r="E10" s="23"/>
      <c r="F10" s="23"/>
      <c r="G10" s="23"/>
      <c r="I10" s="23"/>
      <c r="J10" s="23"/>
      <c r="K10" s="23"/>
      <c r="L10" s="23"/>
      <c r="M10" s="23"/>
      <c r="N10" s="23"/>
      <c r="O10" s="23"/>
    </row>
    <row r="11" spans="1:16" ht="39.75" customHeight="1" x14ac:dyDescent="0.2">
      <c r="A11" s="22"/>
      <c r="B11" s="22"/>
      <c r="C11" s="22"/>
      <c r="D11" s="22"/>
      <c r="E11" s="22"/>
      <c r="F11" s="22"/>
      <c r="G11" s="22"/>
      <c r="I11" s="22"/>
      <c r="J11" s="22"/>
      <c r="K11" s="22"/>
      <c r="L11" s="22"/>
      <c r="M11" s="22"/>
      <c r="N11" s="22"/>
      <c r="O11" s="22"/>
    </row>
    <row r="12" spans="1:16" ht="30" customHeight="1" x14ac:dyDescent="0.2">
      <c r="A12" s="23"/>
      <c r="B12" s="23"/>
      <c r="C12" s="23"/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</row>
    <row r="13" spans="1:16" ht="42" customHeight="1" x14ac:dyDescent="0.2">
      <c r="A13" s="22"/>
      <c r="B13" s="22"/>
      <c r="C13" s="22"/>
      <c r="D13" s="22"/>
      <c r="E13" s="22"/>
      <c r="F13" s="22"/>
      <c r="G13" s="22"/>
      <c r="I13" s="22"/>
      <c r="J13" s="22"/>
      <c r="K13" s="22"/>
      <c r="L13" s="22"/>
      <c r="M13" s="22"/>
      <c r="N13" s="22"/>
      <c r="O13" s="22"/>
    </row>
    <row r="14" spans="1:16" ht="18.75" customHeight="1" x14ac:dyDescent="0.2">
      <c r="A14" s="24"/>
      <c r="B14" s="23"/>
      <c r="C14" s="23"/>
      <c r="D14" s="23"/>
      <c r="E14" s="23"/>
      <c r="F14" s="23"/>
      <c r="G14" s="23"/>
      <c r="I14" s="23"/>
      <c r="J14" s="23"/>
      <c r="K14" s="23"/>
      <c r="L14" s="23"/>
      <c r="M14" s="23"/>
      <c r="N14" s="23"/>
      <c r="O14" s="23"/>
    </row>
    <row r="20" spans="1:15" ht="24" customHeight="1" x14ac:dyDescent="0.2">
      <c r="A20" s="38" t="s">
        <v>159</v>
      </c>
      <c r="B20" s="26"/>
      <c r="C20" s="26"/>
      <c r="D20" s="26"/>
      <c r="E20" s="26"/>
      <c r="F20" s="26"/>
      <c r="G20" s="26"/>
      <c r="I20" s="39" t="s">
        <v>160</v>
      </c>
      <c r="J20" s="26"/>
      <c r="K20" s="26"/>
      <c r="L20" s="26"/>
      <c r="M20" s="26"/>
      <c r="N20" s="26"/>
      <c r="O20" s="26"/>
    </row>
    <row r="21" spans="1:15" ht="56.25" customHeight="1" x14ac:dyDescent="0.2">
      <c r="A21" s="22"/>
      <c r="B21" s="22"/>
      <c r="C21" s="22"/>
      <c r="D21" s="22"/>
      <c r="E21" s="22"/>
      <c r="F21" s="22"/>
      <c r="G21" s="22"/>
      <c r="I21" s="22"/>
      <c r="J21" s="22"/>
      <c r="K21" s="22"/>
      <c r="L21" s="22"/>
      <c r="M21" s="22"/>
      <c r="N21" s="22"/>
      <c r="O21" s="22"/>
    </row>
    <row r="22" spans="1:15" ht="29.25" customHeight="1" x14ac:dyDescent="0.2">
      <c r="A22" s="23"/>
      <c r="B22" s="23"/>
      <c r="C22" s="23"/>
      <c r="D22" s="23"/>
      <c r="E22" s="23"/>
      <c r="F22" s="23"/>
      <c r="G22" s="23"/>
      <c r="I22" s="23"/>
      <c r="J22" s="23"/>
      <c r="K22" s="23"/>
      <c r="L22" s="23"/>
      <c r="M22" s="23"/>
      <c r="N22" s="23"/>
      <c r="O22" s="23"/>
    </row>
    <row r="23" spans="1:15" ht="25.5" customHeight="1" x14ac:dyDescent="0.2">
      <c r="A23" s="22"/>
      <c r="B23" s="22"/>
      <c r="C23" s="22"/>
      <c r="D23" s="22"/>
      <c r="E23" s="22"/>
      <c r="F23" s="22"/>
      <c r="G23" s="22"/>
      <c r="I23" s="22"/>
      <c r="J23" s="22"/>
      <c r="K23" s="22"/>
      <c r="L23" s="22"/>
      <c r="M23" s="22"/>
      <c r="N23" s="22"/>
      <c r="O23" s="22"/>
    </row>
    <row r="24" spans="1:15" ht="32.25" customHeight="1" x14ac:dyDescent="0.2">
      <c r="A24" s="23"/>
      <c r="B24" s="23"/>
      <c r="C24" s="23"/>
      <c r="D24" s="23"/>
      <c r="E24" s="23"/>
      <c r="F24" s="23"/>
      <c r="G24" s="23"/>
      <c r="I24" s="23"/>
      <c r="J24" s="23"/>
      <c r="K24" s="23"/>
      <c r="L24" s="23"/>
      <c r="M24" s="23"/>
      <c r="N24" s="23"/>
      <c r="O24" s="23"/>
    </row>
    <row r="25" spans="1:15" ht="26.25" customHeight="1" x14ac:dyDescent="0.2">
      <c r="A25" s="22"/>
      <c r="B25" s="22"/>
      <c r="C25" s="22"/>
      <c r="D25" s="22"/>
      <c r="E25" s="22"/>
      <c r="F25" s="22"/>
      <c r="G25" s="22"/>
      <c r="I25" s="22"/>
      <c r="J25" s="22"/>
      <c r="K25" s="22"/>
      <c r="L25" s="22"/>
      <c r="M25" s="22"/>
      <c r="N25" s="22"/>
      <c r="O25" s="22"/>
    </row>
    <row r="26" spans="1:15" ht="49.5" customHeight="1" x14ac:dyDescent="0.2">
      <c r="A26" s="23"/>
      <c r="B26" s="23"/>
      <c r="C26" s="23"/>
      <c r="D26" s="23"/>
      <c r="E26" s="23"/>
      <c r="F26" s="23"/>
      <c r="G26" s="23"/>
      <c r="I26" s="23"/>
      <c r="J26" s="23"/>
      <c r="K26" s="23"/>
      <c r="L26" s="23"/>
      <c r="M26" s="23"/>
      <c r="N26" s="23"/>
      <c r="O26" s="23"/>
    </row>
    <row r="32" spans="1:15" ht="22.5" customHeight="1" x14ac:dyDescent="0.2">
      <c r="A32" s="40" t="s">
        <v>161</v>
      </c>
      <c r="B32" s="26"/>
      <c r="C32" s="26"/>
      <c r="D32" s="26"/>
      <c r="E32" s="26"/>
      <c r="F32" s="26"/>
      <c r="G32" s="26"/>
    </row>
    <row r="33" spans="1:16" ht="27" customHeight="1" x14ac:dyDescent="0.2">
      <c r="A33" s="8" t="s">
        <v>162</v>
      </c>
      <c r="B33" s="8" t="s">
        <v>163</v>
      </c>
      <c r="C33" s="8" t="s">
        <v>164</v>
      </c>
      <c r="D33" s="8" t="s">
        <v>165</v>
      </c>
      <c r="E33" s="8" t="s">
        <v>166</v>
      </c>
      <c r="F33" s="8" t="s">
        <v>167</v>
      </c>
      <c r="G33" s="8" t="s">
        <v>7</v>
      </c>
    </row>
    <row r="34" spans="1:16" ht="12.75" x14ac:dyDescent="0.2">
      <c r="A34" s="3" t="s">
        <v>43</v>
      </c>
      <c r="B34" s="3">
        <v>5</v>
      </c>
      <c r="C34" s="3">
        <v>3</v>
      </c>
      <c r="D34" s="3">
        <v>1</v>
      </c>
      <c r="E34" s="3">
        <v>1</v>
      </c>
      <c r="F34" s="13">
        <f t="shared" ref="F34:F39" si="0">((C34+D34)/B34)*100</f>
        <v>80</v>
      </c>
      <c r="G34" s="3" t="str">
        <f t="shared" ref="G34:G39" si="1">IF(F34&gt;=80,"✅ Adequado",IF(F34&gt;=50,"🟡 Atenção","🔴 Crítico"))</f>
        <v>✅ Adequado</v>
      </c>
    </row>
    <row r="35" spans="1:16" ht="12.75" x14ac:dyDescent="0.2">
      <c r="A35" s="6" t="s">
        <v>18</v>
      </c>
      <c r="B35" s="6">
        <v>8</v>
      </c>
      <c r="C35" s="6">
        <v>4</v>
      </c>
      <c r="D35" s="6">
        <v>2</v>
      </c>
      <c r="E35" s="6">
        <v>2</v>
      </c>
      <c r="F35" s="14">
        <f t="shared" si="0"/>
        <v>75</v>
      </c>
      <c r="G35" s="3" t="str">
        <f t="shared" si="1"/>
        <v>🟡 Atenção</v>
      </c>
    </row>
    <row r="36" spans="1:16" ht="12.75" x14ac:dyDescent="0.2">
      <c r="A36" s="3" t="s">
        <v>31</v>
      </c>
      <c r="B36" s="3">
        <v>6</v>
      </c>
      <c r="C36" s="3">
        <v>2</v>
      </c>
      <c r="D36" s="3">
        <v>3</v>
      </c>
      <c r="E36" s="3">
        <v>1</v>
      </c>
      <c r="F36" s="13">
        <f t="shared" si="0"/>
        <v>83.333333333333343</v>
      </c>
      <c r="G36" s="3" t="str">
        <f t="shared" si="1"/>
        <v>✅ Adequado</v>
      </c>
    </row>
    <row r="37" spans="1:16" ht="12.75" x14ac:dyDescent="0.2">
      <c r="A37" s="6" t="s">
        <v>23</v>
      </c>
      <c r="B37" s="6">
        <v>3</v>
      </c>
      <c r="C37" s="6">
        <v>2</v>
      </c>
      <c r="D37" s="6">
        <v>1</v>
      </c>
      <c r="E37" s="6">
        <v>0</v>
      </c>
      <c r="F37" s="14">
        <f t="shared" si="0"/>
        <v>100</v>
      </c>
      <c r="G37" s="3" t="str">
        <f t="shared" si="1"/>
        <v>✅ Adequado</v>
      </c>
    </row>
    <row r="38" spans="1:16" ht="12.75" x14ac:dyDescent="0.2">
      <c r="A38" s="3" t="s">
        <v>27</v>
      </c>
      <c r="B38" s="3">
        <v>4</v>
      </c>
      <c r="C38" s="3">
        <v>3</v>
      </c>
      <c r="D38" s="3">
        <v>0</v>
      </c>
      <c r="E38" s="3">
        <v>1</v>
      </c>
      <c r="F38" s="13">
        <f t="shared" si="0"/>
        <v>75</v>
      </c>
      <c r="G38" s="3" t="str">
        <f t="shared" si="1"/>
        <v>🟡 Atenção</v>
      </c>
    </row>
    <row r="39" spans="1:16" ht="12.75" x14ac:dyDescent="0.2">
      <c r="A39" s="6" t="s">
        <v>39</v>
      </c>
      <c r="B39" s="6">
        <v>7</v>
      </c>
      <c r="C39" s="6">
        <v>3</v>
      </c>
      <c r="D39" s="6">
        <v>2</v>
      </c>
      <c r="E39" s="6">
        <v>2</v>
      </c>
      <c r="F39" s="14">
        <f t="shared" si="0"/>
        <v>71.428571428571431</v>
      </c>
      <c r="G39" s="3" t="str">
        <f t="shared" si="1"/>
        <v>🟡 Atenção</v>
      </c>
    </row>
    <row r="41" spans="1:16" ht="16.5" customHeight="1" x14ac:dyDescent="0.2">
      <c r="A41" s="41" t="s">
        <v>168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</sheetData>
  <mergeCells count="21">
    <mergeCell ref="A32:G32"/>
    <mergeCell ref="A41:P41"/>
    <mergeCell ref="C4:D4"/>
    <mergeCell ref="C5:D6"/>
    <mergeCell ref="E5:F6"/>
    <mergeCell ref="G5:H6"/>
    <mergeCell ref="I5:J6"/>
    <mergeCell ref="K5:L6"/>
    <mergeCell ref="M5:N6"/>
    <mergeCell ref="A7:P7"/>
    <mergeCell ref="A8:G8"/>
    <mergeCell ref="I8:O8"/>
    <mergeCell ref="A20:G20"/>
    <mergeCell ref="I20:O20"/>
    <mergeCell ref="A1:P1"/>
    <mergeCell ref="A2:P2"/>
    <mergeCell ref="E4:F4"/>
    <mergeCell ref="G4:H4"/>
    <mergeCell ref="I4:J4"/>
    <mergeCell ref="K4:L4"/>
    <mergeCell ref="M4:N4"/>
  </mergeCells>
  <conditionalFormatting sqref="G34:G39">
    <cfRule type="containsText" dxfId="2" priority="1" stopIfTrue="1" operator="containsText" text="✅">
      <formula>NOT(ISERROR(SEARCH(("✅"),(G34))))</formula>
    </cfRule>
    <cfRule type="containsText" dxfId="1" priority="2" stopIfTrue="1" operator="containsText" text="🟡">
      <formula>NOT(ISERROR(SEARCH(("🟡"),(G34))))</formula>
    </cfRule>
    <cfRule type="containsText" dxfId="0" priority="3" stopIfTrue="1" operator="containsText" text="🔴">
      <formula>NOT(ISERROR(SEARCH(("🔴"),(G34))))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📋 Dados Brutos</vt:lpstr>
      <vt:lpstr>📊 Indicadores Críticos</vt:lpstr>
      <vt:lpstr>💰 Financeiro &amp; EBITDA</vt:lpstr>
      <vt:lpstr>🎯 Dashboard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TECHNO PLAST</cp:lastModifiedBy>
  <dcterms:modified xsi:type="dcterms:W3CDTF">2026-05-14T19:54:39Z</dcterms:modified>
</cp:coreProperties>
</file>