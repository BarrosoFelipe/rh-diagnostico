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H Techno Plast\Downloads\"/>
    </mc:Choice>
  </mc:AlternateContent>
  <xr:revisionPtr revIDLastSave="0" documentId="13_ncr:1_{8503F5AD-5178-4FDF-911B-D0D64517727F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etas" sheetId="1" r:id="rId1"/>
    <sheet name="Config" sheetId="2" r:id="rId2"/>
    <sheet name="Dimensões" sheetId="3" r:id="rId3"/>
    <sheet name="Diagnóstico" sheetId="4" r:id="rId4"/>
    <sheet name="Resultados" sheetId="5" r:id="rId5"/>
    <sheet name="Plano de Ação" sheetId="6" r:id="rId6"/>
    <sheet name="Referenciais" sheetId="7" r:id="rId7"/>
  </sheets>
  <calcPr calcId="191029"/>
</workbook>
</file>

<file path=xl/calcChain.xml><?xml version="1.0" encoding="utf-8"?>
<calcChain xmlns="http://schemas.openxmlformats.org/spreadsheetml/2006/main">
  <c r="B5" i="5" l="1"/>
  <c r="B4" i="5"/>
  <c r="B3" i="5"/>
  <c r="B2" i="5"/>
  <c r="C2" i="5" s="1"/>
  <c r="D9" i="4"/>
  <c r="D8" i="4"/>
  <c r="D7" i="4"/>
  <c r="D6" i="4"/>
  <c r="D5" i="4"/>
  <c r="D4" i="4"/>
  <c r="D3" i="4"/>
  <c r="D2" i="4"/>
  <c r="C3" i="5" l="1"/>
  <c r="D3" i="5" s="1"/>
  <c r="D2" i="5"/>
  <c r="C4" i="5"/>
  <c r="D4" i="5" s="1"/>
  <c r="C5" i="5"/>
  <c r="D5" i="5" s="1"/>
  <c r="C8" i="5" l="1"/>
  <c r="B2" i="6" a="1"/>
  <c r="B2" i="6" s="1"/>
  <c r="D2" i="6" s="1"/>
</calcChain>
</file>

<file path=xl/sharedStrings.xml><?xml version="1.0" encoding="utf-8"?>
<sst xmlns="http://schemas.openxmlformats.org/spreadsheetml/2006/main" count="179" uniqueCount="126">
  <si>
    <t>Objetivo</t>
  </si>
  <si>
    <t>Meta</t>
  </si>
  <si>
    <t>Indicador-Chave</t>
  </si>
  <si>
    <t>Evoluir para RH Estratégico</t>
  </si>
  <si>
    <t>Atingir Nível 4 (Estratégico) em 3 anos</t>
  </si>
  <si>
    <t>% de iniciativas alinhadas ao planejamento empresarial</t>
  </si>
  <si>
    <t>Reduzir custos operacionais</t>
  </si>
  <si>
    <t>Diminuir em 25% processos manuais em 18 meses</t>
  </si>
  <si>
    <t>Tempo gasto em atividades operacionais</t>
  </si>
  <si>
    <t>Aumentar ROI de pessoas</t>
  </si>
  <si>
    <t>Elevar em 40% o impacto de RH no EBITDA em 2 anos</t>
  </si>
  <si>
    <t>Variação do EBITDA atribuível a ações de RH</t>
  </si>
  <si>
    <t>Nível</t>
  </si>
  <si>
    <t>Nome</t>
  </si>
  <si>
    <t>Características</t>
  </si>
  <si>
    <t>Inexistente</t>
  </si>
  <si>
    <t>Processos não documentados; reações a crises; sem métricas de RH.</t>
  </si>
  <si>
    <t>Básico/Reativo</t>
  </si>
  <si>
    <t>Processos isolados (ex.: folha de pagamento); foco em compliance; métricas operacionais.</t>
  </si>
  <si>
    <t>Padronizado</t>
  </si>
  <si>
    <t>Processos integrados (ex.: onboarding); uso de KPIs básicos (turnover, absenteísmo).</t>
  </si>
  <si>
    <t>Estratégico</t>
  </si>
  <si>
    <t>RH como parceiro de negócios; KPIs ligados a resultados (produtividade, EBITDA).</t>
  </si>
  <si>
    <t>Transformacional</t>
  </si>
  <si>
    <t>RH como consultor interno; uso de People Analytics e IA; foco em inovação e cultura.</t>
  </si>
  <si>
    <t>KPIs Operacionais</t>
  </si>
  <si>
    <t>KPIs Estratégicos</t>
  </si>
  <si>
    <t>Meta de Sucesso</t>
  </si>
  <si>
    <t>• Tempo de processamento de folha
• % de erros em admissões</t>
  </si>
  <si>
    <t>—</t>
  </si>
  <si>
    <t>Reduzir erros em 20%</t>
  </si>
  <si>
    <t>• Turnover
• Custo de recrutamento</t>
  </si>
  <si>
    <t>• Satisfação de colaboradores</t>
  </si>
  <si>
    <t>Turnover ≤ 15%</t>
  </si>
  <si>
    <t>• Custo de RH/Receita</t>
  </si>
  <si>
    <t>• ROI de treinamentos
• Impacto no EBITDA</t>
  </si>
  <si>
    <t>EBITDA +5% por ações de RH</t>
  </si>
  <si>
    <t>• Inovação por colaborador
• Agilidade organizacional</t>
  </si>
  <si>
    <t>70% de projetos de inovação implementados</t>
  </si>
  <si>
    <t>Nome da Empresa</t>
  </si>
  <si>
    <t>Exemplo S.A.</t>
  </si>
  <si>
    <t>Responsável pelo RH</t>
  </si>
  <si>
    <t>Felipe Barroso</t>
  </si>
  <si>
    <t>Data do Diagnóstico</t>
  </si>
  <si>
    <t>Horizonte da Evolução</t>
  </si>
  <si>
    <t>3 anos</t>
  </si>
  <si>
    <t>Nível de Maturidade Alvo</t>
  </si>
  <si>
    <t>3 – Estratégico</t>
  </si>
  <si>
    <t>OBJETIVO ESTRATÉGICO</t>
  </si>
  <si>
    <t>META</t>
  </si>
  <si>
    <t>INDICADOR-CHAVE</t>
  </si>
  <si>
    <t>Evoluir maturidade de RH</t>
  </si>
  <si>
    <t>Sair do Nível 1 para Nível 3 em 24 meses</t>
  </si>
  <si>
    <t>Nível médio de maturidade (0–4)</t>
  </si>
  <si>
    <t>Reduzir foco operacional</t>
  </si>
  <si>
    <t>% de tempo em tarefas operacionais &lt; 60%</t>
  </si>
  <si>
    <t>% tempo operacional vs. estratégico</t>
  </si>
  <si>
    <t>Aumentar impacto no EBITDA</t>
  </si>
  <si>
    <t>Contribuir com +5 p.p. na margem EBITDA em 3 anos</t>
  </si>
  <si>
    <t>KPIs de RH ligados ao EBITDA</t>
  </si>
  <si>
    <t>DIMENSÕES</t>
  </si>
  <si>
    <t>NÍVEL</t>
  </si>
  <si>
    <t>NOME DO NÍVEL</t>
  </si>
  <si>
    <t>DESCRIÇÃO RESUMIDA</t>
  </si>
  <si>
    <t>Estratégia de RH</t>
  </si>
  <si>
    <t>Não há plano de RH; decisões totalmente reativas.</t>
  </si>
  <si>
    <t>RH cumpre rotinas, sem alinhamento formal à estratégia.</t>
  </si>
  <si>
    <t>Processos de RH documentados e minimamente alinhados.</t>
  </si>
  <si>
    <t>RH participa de decisões de negócio e metas da empresa.</t>
  </si>
  <si>
    <t>RH lidera mudanças, inovação e cultura organizacional.</t>
  </si>
  <si>
    <t>Processos de RH</t>
  </si>
  <si>
    <t>Processos não definidos, cada gestor faz “do seu jeito”.</t>
  </si>
  <si>
    <t>Processos mínimos para folha e admissões.</t>
  </si>
  <si>
    <t>Onboarding, R&amp;S e treinamento padronizados.</t>
  </si>
  <si>
    <t>Processos orientados para valor e eficiência.</t>
  </si>
  <si>
    <t>Melhoria contínua, automação e foco em experiência.</t>
  </si>
  <si>
    <t>People Analytics</t>
  </si>
  <si>
    <t>Nenhum dado estruturado de pessoas.</t>
  </si>
  <si>
    <t>Relatórios pontuais, sem análise.</t>
  </si>
  <si>
    <t>KPIs básicos acompanhados mensalmente.</t>
  </si>
  <si>
    <t>Dashboards e decisões baseadas em dados de RH.</t>
  </si>
  <si>
    <t>Uso de preditivos, IA e correlação com EBITDA.</t>
  </si>
  <si>
    <t>Liderança &amp; Cultura</t>
  </si>
  <si>
    <t>Sem definição clara de cultura, liderança improvisada.</t>
  </si>
  <si>
    <t>Ações pontuais de liderança; cultura implícita.</t>
  </si>
  <si>
    <t>Programas formais de liderança e valores definidos.</t>
  </si>
  <si>
    <t>Liderança cobrando KPIs de gente; cultura alinhada à estratégia.</t>
  </si>
  <si>
    <t>Cultura de alta performance e aprendizado contínuo.</t>
  </si>
  <si>
    <t>DIMENSÃO</t>
  </si>
  <si>
    <t>PERGUNTA / CRITÉRIO</t>
  </si>
  <si>
    <t>NÍVEL ESCOLHIDO</t>
  </si>
  <si>
    <t>DESCRIÇÃO DO NÍVEL</t>
  </si>
  <si>
    <t>O RH participa da definição do planejamento estratégico da empresa?</t>
  </si>
  <si>
    <t>Existem metas de RH vinculadas a metas financeiras (ex.: EBITDA, margem)?</t>
  </si>
  <si>
    <t>Os processos de recrutamento e seleção são padronizados e documentados?</t>
  </si>
  <si>
    <t>Há automação (planilhas/Apps Script) em atividades burocráticas do RH?</t>
  </si>
  <si>
    <t>A empresa acompanha KPIs como turnover, absenteísmo e custo de pessoal/receita?</t>
  </si>
  <si>
    <t>O RH realiza análises que conectam KPIs de pessoas a resultados de negócio?</t>
  </si>
  <si>
    <t>Há programa estruturado de desenvolvimento de liderança?</t>
  </si>
  <si>
    <t>A cultura organizacional está formalizada e é usada em decisões de gestão?</t>
  </si>
  <si>
    <t>Dimensão</t>
  </si>
  <si>
    <t>Nº de Itens</t>
  </si>
  <si>
    <t>Soma dos Níveis</t>
  </si>
  <si>
    <t>Maturidade Média</t>
  </si>
  <si>
    <t>NÍVEL MÉDIO GERAL DE RH</t>
  </si>
  <si>
    <t>NÍVEL ATUAL</t>
  </si>
  <si>
    <t>NÍVEL ALVO</t>
  </si>
  <si>
    <t>GAP</t>
  </si>
  <si>
    <t>AÇÃO RECOMENDADA</t>
  </si>
  <si>
    <t>PRIORIDADE</t>
  </si>
  <si>
    <t>RESPONSÁVEL</t>
  </si>
  <si>
    <t>PRAZO</t>
  </si>
  <si>
    <t>TEMA</t>
  </si>
  <si>
    <t>REFERÊNCIA / CASE</t>
  </si>
  <si>
    <t>INSIGHT</t>
  </si>
  <si>
    <t>Engajamento &amp; Lucro</t>
  </si>
  <si>
    <t>Gallup – State of the Global Workplace 2023</t>
  </si>
  <si>
    <t>Equipes engajadas → +23% lucratividade, -43% turnover.</t>
  </si>
  <si>
    <t>Google – People Analytics</t>
  </si>
  <si>
    <t>Decisões de talento baseadas em dados, predição de rotatividade.</t>
  </si>
  <si>
    <t>RH Estratégico</t>
  </si>
  <si>
    <t>McKinsey – People and Organization Performance</t>
  </si>
  <si>
    <t>Empresas que tratam talento como prioridade → +2,2x EBITDA.</t>
  </si>
  <si>
    <t>Capital Humano &amp; ROI</t>
  </si>
  <si>
    <t>Deloitte – Global Human Capital Trends</t>
  </si>
  <si>
    <t>RH maduro → melhores margens operacionais.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</si>
</sst>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Arial"/>
      <scheme val="minor"/>
    </font>
    <font>
      <sz val="12"/>
      <color rgb="FF3B3D3B"/>
      <name val="&quot;DM Sans&quot;"/>
    </font>
    <font>
      <sz val="12"/>
      <color rgb="FF3B3D3B"/>
      <name val="Arial"/>
    </font>
    <font>
      <sz val="10"/>
      <color theme="1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0"/>
      <name val="Arial"/>
    </font>
    <font>
      <b/>
      <sz val="16"/>
      <color rgb="FFFFFFFF"/>
      <name val="Arial"/>
    </font>
    <font>
      <sz val="10"/>
      <color theme="1"/>
      <name val="Arial"/>
      <family val="2"/>
    </font>
    <font>
      <sz val="12"/>
      <color theme="0"/>
      <name val="&quot;DM Sans&quot;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7F9"/>
        <bgColor rgb="FFF7F7F9"/>
      </patternFill>
    </fill>
    <fill>
      <patternFill patternType="solid">
        <fgColor rgb="FF1E4B6C"/>
        <bgColor rgb="FF1E4B6C"/>
      </patternFill>
    </fill>
  </fills>
  <borders count="12">
    <border>
      <left/>
      <right/>
      <top/>
      <bottom/>
      <diagonal/>
    </border>
    <border>
      <left style="thick">
        <color rgb="FF1E4B6C"/>
      </left>
      <right/>
      <top style="thick">
        <color rgb="FF1E4B6C"/>
      </top>
      <bottom/>
      <diagonal/>
    </border>
    <border>
      <left/>
      <right style="thick">
        <color rgb="FF1E4B6C"/>
      </right>
      <top style="thick">
        <color rgb="FF1E4B6C"/>
      </top>
      <bottom/>
      <diagonal/>
    </border>
    <border>
      <left style="thick">
        <color rgb="FF1E4B6C"/>
      </left>
      <right/>
      <top/>
      <bottom/>
      <diagonal/>
    </border>
    <border>
      <left/>
      <right style="thick">
        <color rgb="FF1E4B6C"/>
      </right>
      <top/>
      <bottom/>
      <diagonal/>
    </border>
    <border>
      <left style="thick">
        <color rgb="FF1E4B6C"/>
      </left>
      <right/>
      <top/>
      <bottom style="thick">
        <color rgb="FF1E4B6C"/>
      </bottom>
      <diagonal/>
    </border>
    <border>
      <left/>
      <right style="thick">
        <color rgb="FF1E4B6C"/>
      </right>
      <top/>
      <bottom style="thick">
        <color rgb="FF1E4B6C"/>
      </bottom>
      <diagonal/>
    </border>
    <border>
      <left/>
      <right/>
      <top style="thick">
        <color rgb="FF1E4B6C"/>
      </top>
      <bottom/>
      <diagonal/>
    </border>
    <border>
      <left/>
      <right/>
      <top/>
      <bottom style="thick">
        <color rgb="FF1E4B6C"/>
      </bottom>
      <diagonal/>
    </border>
    <border>
      <left style="thick">
        <color rgb="FF1E4B6C"/>
      </left>
      <right/>
      <top style="thick">
        <color rgb="FF1E4B6C"/>
      </top>
      <bottom style="thick">
        <color rgb="FF1E4B6C"/>
      </bottom>
      <diagonal/>
    </border>
    <border>
      <left/>
      <right/>
      <top style="thick">
        <color rgb="FF1E4B6C"/>
      </top>
      <bottom style="thick">
        <color rgb="FF1E4B6C"/>
      </bottom>
      <diagonal/>
    </border>
    <border>
      <left/>
      <right style="thick">
        <color rgb="FF1E4B6C"/>
      </right>
      <top style="thick">
        <color rgb="FF1E4B6C"/>
      </top>
      <bottom style="thick">
        <color rgb="FF1E4B6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6" fillId="0" borderId="10" xfId="0" applyFont="1" applyBorder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34">
    <dxf>
      <font>
        <strike val="0"/>
        <outline val="0"/>
        <shadow val="0"/>
        <u val="none"/>
        <vertAlign val="baseline"/>
        <sz val="12"/>
        <color theme="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0"/>
        <name val="&quot;DM Sans&quot;"/>
        <scheme val="none"/>
      </font>
    </dxf>
    <dxf>
      <font>
        <strike val="0"/>
        <outline val="0"/>
        <shadow val="0"/>
        <u val="none"/>
        <vertAlign val="baseline"/>
        <sz val="12"/>
        <color theme="0"/>
        <name val="&quot;DM Sans&quot;"/>
        <scheme val="none"/>
      </font>
    </dxf>
    <dxf>
      <font>
        <strike val="0"/>
        <outline val="0"/>
        <shadow val="0"/>
        <u val="none"/>
        <vertAlign val="baseline"/>
        <sz val="12"/>
        <color theme="0"/>
        <name val="&quot;DM Sans&quot;"/>
        <scheme val="none"/>
      </font>
    </dxf>
    <dxf>
      <border>
        <left style="thin">
          <color rgb="FF1E4B6C"/>
        </left>
        <right style="thin">
          <color rgb="FF1E4B6C"/>
        </right>
        <top style="thin">
          <color rgb="FF1E4B6C"/>
        </top>
        <bottom style="thin">
          <color rgb="FF1E4B6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E4B6C"/>
          <bgColor rgb="FF1E4B6C"/>
        </patternFill>
      </fill>
    </dxf>
    <dxf>
      <border>
        <left style="thin">
          <color rgb="FF1E4B6C"/>
        </left>
        <right style="thin">
          <color rgb="FF1E4B6C"/>
        </right>
        <top style="thin">
          <color rgb="FF1E4B6C"/>
        </top>
        <bottom style="thin">
          <color rgb="FF1E4B6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E4B6C"/>
          <bgColor rgb="FF1E4B6C"/>
        </patternFill>
      </fill>
    </dxf>
    <dxf>
      <border>
        <left style="thin">
          <color rgb="FF1E4B6C"/>
        </left>
        <right style="thin">
          <color rgb="FF1E4B6C"/>
        </right>
        <top style="thin">
          <color rgb="FF1E4B6C"/>
        </top>
        <bottom style="thin">
          <color rgb="FF1E4B6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E4B6C"/>
          <bgColor rgb="FF1E4B6C"/>
        </patternFill>
      </fill>
    </dxf>
    <dxf>
      <border>
        <left style="thin">
          <color rgb="FF1E4B6C"/>
        </left>
        <right style="thin">
          <color rgb="FF1E4B6C"/>
        </right>
        <top style="thin">
          <color rgb="FF1E4B6C"/>
        </top>
        <bottom style="thin">
          <color rgb="FF1E4B6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E4B6C"/>
          <bgColor rgb="FF1E4B6C"/>
        </patternFill>
      </fill>
    </dxf>
    <dxf>
      <border>
        <left style="thin">
          <color rgb="FF1E4B6C"/>
        </left>
        <right style="thin">
          <color rgb="FF1E4B6C"/>
        </right>
        <top style="thin">
          <color rgb="FF1E4B6C"/>
        </top>
        <bottom style="thin">
          <color rgb="FF1E4B6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E4B6C"/>
          <bgColor rgb="FF1E4B6C"/>
        </patternFill>
      </fill>
    </dxf>
    <dxf>
      <border>
        <left style="thin">
          <color rgb="FF1E4B6C"/>
        </left>
        <right style="thin">
          <color rgb="FF1E4B6C"/>
        </right>
        <top style="thin">
          <color rgb="FF1E4B6C"/>
        </top>
        <bottom style="thin">
          <color rgb="FF1E4B6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E4B6C"/>
          <bgColor rgb="FF1E4B6C"/>
        </patternFill>
      </fill>
    </dxf>
    <dxf>
      <border>
        <left style="thin">
          <color rgb="FF1E4B6C"/>
        </left>
        <right style="thin">
          <color rgb="FF1E4B6C"/>
        </right>
        <top style="thin">
          <color rgb="FF1E4B6C"/>
        </top>
        <bottom style="thin">
          <color rgb="FF1E4B6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E4B6C"/>
          <bgColor rgb="FF1E4B6C"/>
        </patternFill>
      </fill>
    </dxf>
  </dxfs>
  <tableStyles count="7">
    <tableStyle name="Metas-style" pivot="0" count="4" xr9:uid="{00000000-0011-0000-FFFF-FFFF00000000}">
      <tableStyleElement type="wholeTable" size="0" dxfId="30"/>
      <tableStyleElement type="headerRow" dxfId="33"/>
      <tableStyleElement type="firstRowStripe" dxfId="32"/>
      <tableStyleElement type="secondRowStripe" dxfId="31"/>
    </tableStyle>
    <tableStyle name="Metas-style 2" pivot="0" count="4" xr9:uid="{00000000-0011-0000-FFFF-FFFF01000000}">
      <tableStyleElement type="wholeTable" size="0" dxfId="26"/>
      <tableStyleElement type="headerRow" dxfId="29"/>
      <tableStyleElement type="firstRowStripe" dxfId="28"/>
      <tableStyleElement type="secondRowStripe" dxfId="27"/>
    </tableStyle>
    <tableStyle name="Metas-style 3" pivot="0" count="4" xr9:uid="{00000000-0011-0000-FFFF-FFFF02000000}">
      <tableStyleElement type="wholeTable" size="0" dxfId="22"/>
      <tableStyleElement type="headerRow" dxfId="25"/>
      <tableStyleElement type="firstRowStripe" dxfId="24"/>
      <tableStyleElement type="secondRowStripe" dxfId="23"/>
    </tableStyle>
    <tableStyle name="Dimensões-style" pivot="0" count="4" xr9:uid="{00000000-0011-0000-FFFF-FFFF03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Diagnóstico-style" pivot="0" count="4" xr9:uid="{00000000-0011-0000-FFFF-FFFF04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Resultados-style" pivot="0" count="4" xr9:uid="{00000000-0011-0000-FFFF-FFFF05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Plano de Ação-style" pivot="0" count="4" xr9:uid="{00000000-0011-0000-FFFF-FFFF06000000}">
      <tableStyleElement type="wholeTable" size="0" dxfId="6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Mapa de Maturidade de RH por Dimensão (0–4)</a:t>
            </a:r>
          </a:p>
        </c:rich>
      </c:tx>
      <c:layout>
        <c:manualLayout>
          <c:xMode val="edge"/>
          <c:yMode val="edge"/>
          <c:x val="3.4630102040816298E-2"/>
          <c:y val="5.3034846184272753E-3"/>
        </c:manualLayout>
      </c:layout>
      <c:overlay val="0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'Resultados'!$D$1</c:f>
              <c:strCache>
                <c:ptCount val="1"/>
                <c:pt idx="0">
                  <c:v>Maturidade Média</c:v>
                </c:pt>
              </c:strCache>
            </c:strRef>
          </c:tx>
          <c:spPr>
            <a:ln w="19050" cmpd="sng">
              <a:solidFill>
                <a:srgbClr val="1F6A7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'Resultados'!$A$2:$A$5</c:f>
              <c:strCache>
                <c:ptCount val="4"/>
                <c:pt idx="0">
                  <c:v>Estratégia de RH</c:v>
                </c:pt>
                <c:pt idx="1">
                  <c:v>Processos de RH</c:v>
                </c:pt>
                <c:pt idx="2">
                  <c:v>People Analytics</c:v>
                </c:pt>
                <c:pt idx="3">
                  <c:v>Liderança &amp; Cultura</c:v>
                </c:pt>
              </c:strCache>
            </c:strRef>
          </c:cat>
          <c:val>
            <c:numRef>
              <c:f>'Resultados'!$D$2:$D$5</c:f>
              <c:numCache>
                <c:formatCode>General</c:formatCode>
                <c:ptCount val="4"/>
                <c:pt idx="0">
                  <c:v>1</c:v>
                </c:pt>
                <c:pt idx="1">
                  <c:v>2.5</c:v>
                </c:pt>
                <c:pt idx="2">
                  <c:v>1.5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5-4F83-89A4-AD66364E9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827560"/>
        <c:axId val="712265762"/>
      </c:radarChart>
      <c:catAx>
        <c:axId val="1433827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Dimensão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712265762"/>
        <c:crosses val="autoZero"/>
        <c:auto val="1"/>
        <c:lblAlgn val="ctr"/>
        <c:lblOffset val="100"/>
        <c:noMultiLvlLbl val="1"/>
      </c:catAx>
      <c:valAx>
        <c:axId val="712265762"/>
        <c:scaling>
          <c:orientation val="minMax"/>
          <c:max val="4"/>
        </c:scaling>
        <c:delete val="0"/>
        <c:axPos val="l"/>
        <c:majorGridlines>
          <c:spPr>
            <a:ln>
              <a:solidFill>
                <a:srgbClr val="0E3744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3382756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1</xdr:row>
      <xdr:rowOff>95250</xdr:rowOff>
    </xdr:from>
    <xdr:ext cx="5943600" cy="412432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bjetivo" displayName="Objetivo" ref="A1:C4" headerRowDxfId="5">
  <tableColumns count="3">
    <tableColumn id="1" xr3:uid="{00000000-0010-0000-0000-000001000000}" name="Objetivo"/>
    <tableColumn id="2" xr3:uid="{00000000-0010-0000-0000-000002000000}" name="Meta"/>
    <tableColumn id="3" xr3:uid="{00000000-0010-0000-0000-000003000000}" name="Indicador-Chave"/>
  </tableColumns>
  <tableStyleInfo name="Me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uridade" displayName="Maturidade" ref="A7:C12" headerRowDxfId="4">
  <tableColumns count="3">
    <tableColumn id="1" xr3:uid="{00000000-0010-0000-0100-000001000000}" name="Nível"/>
    <tableColumn id="2" xr3:uid="{00000000-0010-0000-0100-000002000000}" name="Nome"/>
    <tableColumn id="3" xr3:uid="{00000000-0010-0000-0100-000003000000}" name="Características"/>
  </tableColumns>
  <tableStyleInfo name="Me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étrica_de_Sucesso" displayName="Métrica_de_Sucesso" ref="A15:D19" headerRowDxfId="3">
  <tableColumns count="4">
    <tableColumn id="1" xr3:uid="{00000000-0010-0000-0200-000001000000}" name="Nível"/>
    <tableColumn id="2" xr3:uid="{00000000-0010-0000-0200-000002000000}" name="KPIs Operacionais"/>
    <tableColumn id="3" xr3:uid="{00000000-0010-0000-0200-000003000000}" name="KPIs Estratégicos"/>
    <tableColumn id="4" xr3:uid="{00000000-0010-0000-0200-000004000000}" name="Meta de Sucesso"/>
  </tableColumns>
  <tableStyleInfo name="Me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ensoes" displayName="Dimensoes" ref="A1:D21" headerRowDxfId="2">
  <tableColumns count="4">
    <tableColumn id="1" xr3:uid="{00000000-0010-0000-0300-000001000000}" name="DIMENSÕES"/>
    <tableColumn id="2" xr3:uid="{00000000-0010-0000-0300-000002000000}" name="NÍVEL"/>
    <tableColumn id="3" xr3:uid="{00000000-0010-0000-0300-000003000000}" name="NOME DO NÍVEL"/>
    <tableColumn id="4" xr3:uid="{00000000-0010-0000-0300-000004000000}" name="DESCRIÇÃO RESUMIDA"/>
  </tableColumns>
  <tableStyleInfo name="Dimensõe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agnóstico" displayName="Diagnóstico" ref="A1:D9" headerRowDxfId="1">
  <tableColumns count="4">
    <tableColumn id="1" xr3:uid="{00000000-0010-0000-0400-000001000000}" name="DIMENSÃO"/>
    <tableColumn id="2" xr3:uid="{00000000-0010-0000-0400-000002000000}" name="PERGUNTA / CRITÉRIO"/>
    <tableColumn id="3" xr3:uid="{00000000-0010-0000-0400-000003000000}" name="NÍVEL ESCOLHIDO"/>
    <tableColumn id="4" xr3:uid="{00000000-0010-0000-0400-000004000000}" name="DESCRIÇÃO DO NÍVEL"/>
  </tableColumns>
  <tableStyleInfo name="Diagnóstico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sultados" displayName="Resultados" ref="A1:D5">
  <tableColumns count="4">
    <tableColumn id="1" xr3:uid="{00000000-0010-0000-0500-000001000000}" name="Dimensão"/>
    <tableColumn id="2" xr3:uid="{00000000-0010-0000-0500-000002000000}" name="Nº de Itens"/>
    <tableColumn id="3" xr3:uid="{00000000-0010-0000-0500-000003000000}" name="Soma dos Níveis"/>
    <tableColumn id="4" xr3:uid="{00000000-0010-0000-0500-000004000000}" name="Maturidade Média"/>
  </tableColumns>
  <tableStyleInfo name="Resultado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l_Ação" displayName="Pl_Ação" ref="A1:H2" headerRowDxfId="0">
  <tableColumns count="8">
    <tableColumn id="1" xr3:uid="{00000000-0010-0000-0600-000001000000}" name="DIMENSÃO"/>
    <tableColumn id="2" xr3:uid="{00000000-0010-0000-0600-000002000000}" name="NÍVEL ATUAL"/>
    <tableColumn id="3" xr3:uid="{00000000-0010-0000-0600-000003000000}" name="NÍVEL ALVO"/>
    <tableColumn id="4" xr3:uid="{00000000-0010-0000-0600-000004000000}" name="GAP"/>
    <tableColumn id="5" xr3:uid="{00000000-0010-0000-0600-000005000000}" name="AÇÃO RECOMENDADA"/>
    <tableColumn id="6" xr3:uid="{00000000-0010-0000-0600-000006000000}" name="PRIORIDADE"/>
    <tableColumn id="7" xr3:uid="{00000000-0010-0000-0600-000007000000}" name="RESPONSÁVEL"/>
    <tableColumn id="8" xr3:uid="{00000000-0010-0000-0600-000008000000}" name="PRAZO"/>
  </tableColumns>
  <tableStyleInfo name="Plano de Açã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9"/>
  <sheetViews>
    <sheetView showGridLines="0" workbookViewId="0">
      <pane ySplit="1" topLeftCell="A2" activePane="bottomLeft" state="frozen"/>
      <selection pane="bottomLeft" activeCell="C25" sqref="C25"/>
    </sheetView>
  </sheetViews>
  <sheetFormatPr defaultColWidth="12.5703125" defaultRowHeight="15.75" customHeight="1"/>
  <cols>
    <col min="1" max="1" width="30.140625" bestFit="1" customWidth="1"/>
    <col min="2" max="2" width="66.42578125" bestFit="1" customWidth="1"/>
    <col min="3" max="3" width="94.5703125" bestFit="1" customWidth="1"/>
    <col min="4" max="4" width="47.42578125" bestFit="1" customWidth="1"/>
  </cols>
  <sheetData>
    <row r="1" spans="1:4" ht="22.5" customHeight="1">
      <c r="A1" s="31" t="s">
        <v>0</v>
      </c>
      <c r="B1" s="31" t="s">
        <v>1</v>
      </c>
      <c r="C1" s="31" t="s">
        <v>2</v>
      </c>
    </row>
    <row r="2" spans="1:4" ht="22.5" customHeight="1">
      <c r="A2" s="1" t="s">
        <v>3</v>
      </c>
      <c r="B2" s="1" t="s">
        <v>4</v>
      </c>
      <c r="C2" s="1" t="s">
        <v>5</v>
      </c>
    </row>
    <row r="3" spans="1:4" ht="22.5" customHeight="1">
      <c r="A3" s="2" t="s">
        <v>6</v>
      </c>
      <c r="B3" s="2" t="s">
        <v>7</v>
      </c>
      <c r="C3" s="2" t="s">
        <v>8</v>
      </c>
    </row>
    <row r="4" spans="1:4" ht="22.5" customHeight="1">
      <c r="A4" s="1" t="s">
        <v>9</v>
      </c>
      <c r="B4" s="1" t="s">
        <v>10</v>
      </c>
      <c r="C4" s="1" t="s">
        <v>11</v>
      </c>
    </row>
    <row r="7" spans="1:4" ht="22.5" customHeight="1">
      <c r="A7" s="31" t="s">
        <v>12</v>
      </c>
      <c r="B7" s="31" t="s">
        <v>13</v>
      </c>
      <c r="C7" s="31" t="s">
        <v>14</v>
      </c>
    </row>
    <row r="8" spans="1:4" ht="22.5" customHeight="1">
      <c r="A8" s="1">
        <v>0</v>
      </c>
      <c r="B8" s="1" t="s">
        <v>15</v>
      </c>
      <c r="C8" s="1" t="s">
        <v>16</v>
      </c>
    </row>
    <row r="9" spans="1:4" ht="22.5" customHeight="1">
      <c r="A9" s="2">
        <v>1</v>
      </c>
      <c r="B9" s="2" t="s">
        <v>17</v>
      </c>
      <c r="C9" s="2" t="s">
        <v>18</v>
      </c>
    </row>
    <row r="10" spans="1:4" ht="22.5" customHeight="1">
      <c r="A10" s="1">
        <v>2</v>
      </c>
      <c r="B10" s="1" t="s">
        <v>19</v>
      </c>
      <c r="C10" s="1" t="s">
        <v>20</v>
      </c>
    </row>
    <row r="11" spans="1:4" ht="22.5" customHeight="1">
      <c r="A11" s="2">
        <v>3</v>
      </c>
      <c r="B11" s="2" t="s">
        <v>21</v>
      </c>
      <c r="C11" s="2" t="s">
        <v>22</v>
      </c>
    </row>
    <row r="12" spans="1:4" ht="22.5" customHeight="1">
      <c r="A12" s="1">
        <v>4</v>
      </c>
      <c r="B12" s="1" t="s">
        <v>23</v>
      </c>
      <c r="C12" s="1" t="s">
        <v>24</v>
      </c>
    </row>
    <row r="15" spans="1:4" ht="22.5" customHeight="1">
      <c r="A15" s="31" t="s">
        <v>12</v>
      </c>
      <c r="B15" s="31" t="s">
        <v>25</v>
      </c>
      <c r="C15" s="31" t="s">
        <v>26</v>
      </c>
      <c r="D15" s="31" t="s">
        <v>27</v>
      </c>
    </row>
    <row r="16" spans="1:4" ht="22.5" customHeight="1">
      <c r="A16" s="1">
        <v>1</v>
      </c>
      <c r="B16" s="1" t="s">
        <v>28</v>
      </c>
      <c r="C16" s="1" t="s">
        <v>29</v>
      </c>
      <c r="D16" s="1" t="s">
        <v>30</v>
      </c>
    </row>
    <row r="17" spans="1:4" ht="22.5" customHeight="1">
      <c r="A17" s="2">
        <v>2</v>
      </c>
      <c r="B17" s="2" t="s">
        <v>31</v>
      </c>
      <c r="C17" s="2" t="s">
        <v>32</v>
      </c>
      <c r="D17" s="2" t="s">
        <v>33</v>
      </c>
    </row>
    <row r="18" spans="1:4" ht="22.5" customHeight="1">
      <c r="A18" s="1">
        <v>3</v>
      </c>
      <c r="B18" s="1" t="s">
        <v>34</v>
      </c>
      <c r="C18" s="1" t="s">
        <v>35</v>
      </c>
      <c r="D18" s="1" t="s">
        <v>36</v>
      </c>
    </row>
    <row r="19" spans="1:4" ht="22.5" customHeight="1">
      <c r="A19" s="2">
        <v>4</v>
      </c>
      <c r="B19" s="2" t="s">
        <v>29</v>
      </c>
      <c r="C19" s="2" t="s">
        <v>37</v>
      </c>
      <c r="D19" s="2" t="s">
        <v>38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showGridLines="0" workbookViewId="0">
      <selection activeCell="B5" sqref="B5"/>
    </sheetView>
  </sheetViews>
  <sheetFormatPr defaultColWidth="12.5703125" defaultRowHeight="15.75" customHeight="1"/>
  <cols>
    <col min="1" max="1" width="31.85546875" bestFit="1" customWidth="1"/>
    <col min="2" max="2" width="56.42578125" bestFit="1" customWidth="1"/>
    <col min="3" max="3" width="38.42578125" bestFit="1" customWidth="1"/>
  </cols>
  <sheetData>
    <row r="1" spans="1:26">
      <c r="A1" s="3" t="s">
        <v>39</v>
      </c>
      <c r="B1" s="4" t="s">
        <v>40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 t="s">
        <v>41</v>
      </c>
      <c r="B2" s="7" t="s">
        <v>42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8" t="s">
        <v>43</v>
      </c>
      <c r="B3" s="9">
        <v>46152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6" t="s">
        <v>44</v>
      </c>
      <c r="B4" s="7" t="s">
        <v>45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10" t="s">
        <v>46</v>
      </c>
      <c r="B5" s="11" t="s">
        <v>47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>
      <c r="A8" s="12" t="s">
        <v>48</v>
      </c>
      <c r="B8" s="13" t="s">
        <v>49</v>
      </c>
      <c r="C8" s="14" t="s">
        <v>50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8" t="s">
        <v>51</v>
      </c>
      <c r="B9" s="15" t="s">
        <v>52</v>
      </c>
      <c r="C9" s="16" t="s">
        <v>53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6" t="s">
        <v>54</v>
      </c>
      <c r="B10" s="17" t="s">
        <v>55</v>
      </c>
      <c r="C10" s="7" t="s">
        <v>56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10" t="s">
        <v>57</v>
      </c>
      <c r="B11" s="18" t="s">
        <v>58</v>
      </c>
      <c r="C11" s="11" t="s">
        <v>59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showGridLines="0" workbookViewId="0">
      <pane ySplit="1" topLeftCell="A2" activePane="bottomLeft" state="frozen"/>
      <selection pane="bottomLeft" activeCell="B18" sqref="B18"/>
    </sheetView>
  </sheetViews>
  <sheetFormatPr defaultColWidth="12.5703125" defaultRowHeight="15.75" customHeight="1"/>
  <cols>
    <col min="1" max="1" width="21.28515625" bestFit="1" customWidth="1"/>
    <col min="2" max="2" width="8.140625" bestFit="1" customWidth="1"/>
    <col min="3" max="3" width="19.85546875" bestFit="1" customWidth="1"/>
    <col min="4" max="4" width="67.42578125" bestFit="1" customWidth="1"/>
  </cols>
  <sheetData>
    <row r="1" spans="1:26" ht="22.5" customHeight="1">
      <c r="A1" s="32" t="s">
        <v>60</v>
      </c>
      <c r="B1" s="32" t="s">
        <v>61</v>
      </c>
      <c r="C1" s="32" t="s">
        <v>62</v>
      </c>
      <c r="D1" s="32" t="s">
        <v>63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2.5" customHeight="1">
      <c r="A2" s="20" t="s">
        <v>64</v>
      </c>
      <c r="B2" s="20">
        <v>0</v>
      </c>
      <c r="C2" s="20" t="s">
        <v>15</v>
      </c>
      <c r="D2" s="21" t="s">
        <v>65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2.5" customHeight="1">
      <c r="A3" s="22" t="s">
        <v>64</v>
      </c>
      <c r="B3" s="22">
        <v>1</v>
      </c>
      <c r="C3" s="22" t="s">
        <v>17</v>
      </c>
      <c r="D3" s="23" t="s">
        <v>66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2.5" customHeight="1">
      <c r="A4" s="20" t="s">
        <v>64</v>
      </c>
      <c r="B4" s="20">
        <v>2</v>
      </c>
      <c r="C4" s="20" t="s">
        <v>19</v>
      </c>
      <c r="D4" s="21" t="s">
        <v>67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2.5" customHeight="1">
      <c r="A5" s="22" t="s">
        <v>64</v>
      </c>
      <c r="B5" s="22">
        <v>3</v>
      </c>
      <c r="C5" s="22" t="s">
        <v>21</v>
      </c>
      <c r="D5" s="23" t="s">
        <v>68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2.5" customHeight="1">
      <c r="A6" s="20" t="s">
        <v>64</v>
      </c>
      <c r="B6" s="20">
        <v>4</v>
      </c>
      <c r="C6" s="20" t="s">
        <v>23</v>
      </c>
      <c r="D6" s="21" t="s">
        <v>69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2.5" customHeight="1">
      <c r="A7" s="22" t="s">
        <v>70</v>
      </c>
      <c r="B7" s="22">
        <v>0</v>
      </c>
      <c r="C7" s="22" t="s">
        <v>15</v>
      </c>
      <c r="D7" s="23" t="s">
        <v>71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2.5" customHeight="1">
      <c r="A8" s="20" t="s">
        <v>70</v>
      </c>
      <c r="B8" s="20">
        <v>1</v>
      </c>
      <c r="C8" s="20" t="s">
        <v>17</v>
      </c>
      <c r="D8" s="21" t="s">
        <v>72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2.5" customHeight="1">
      <c r="A9" s="22" t="s">
        <v>70</v>
      </c>
      <c r="B9" s="22">
        <v>2</v>
      </c>
      <c r="C9" s="22" t="s">
        <v>19</v>
      </c>
      <c r="D9" s="23" t="s">
        <v>73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2.5" customHeight="1">
      <c r="A10" s="20" t="s">
        <v>70</v>
      </c>
      <c r="B10" s="20">
        <v>3</v>
      </c>
      <c r="C10" s="20" t="s">
        <v>21</v>
      </c>
      <c r="D10" s="21" t="s">
        <v>74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2.5" customHeight="1">
      <c r="A11" s="22" t="s">
        <v>70</v>
      </c>
      <c r="B11" s="22">
        <v>4</v>
      </c>
      <c r="C11" s="22" t="s">
        <v>23</v>
      </c>
      <c r="D11" s="23" t="s">
        <v>75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2.5" customHeight="1">
      <c r="A12" s="20" t="s">
        <v>76</v>
      </c>
      <c r="B12" s="20">
        <v>0</v>
      </c>
      <c r="C12" s="20" t="s">
        <v>15</v>
      </c>
      <c r="D12" s="21" t="s">
        <v>77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2.5" customHeight="1">
      <c r="A13" s="22" t="s">
        <v>76</v>
      </c>
      <c r="B13" s="22">
        <v>1</v>
      </c>
      <c r="C13" s="22" t="s">
        <v>17</v>
      </c>
      <c r="D13" s="23" t="s">
        <v>78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2.5" customHeight="1">
      <c r="A14" s="20" t="s">
        <v>76</v>
      </c>
      <c r="B14" s="20">
        <v>2</v>
      </c>
      <c r="C14" s="20" t="s">
        <v>19</v>
      </c>
      <c r="D14" s="21" t="s">
        <v>79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2.5" customHeight="1">
      <c r="A15" s="22" t="s">
        <v>76</v>
      </c>
      <c r="B15" s="22">
        <v>3</v>
      </c>
      <c r="C15" s="22" t="s">
        <v>21</v>
      </c>
      <c r="D15" s="23" t="s">
        <v>80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2.5" customHeight="1">
      <c r="A16" s="20" t="s">
        <v>76</v>
      </c>
      <c r="B16" s="20">
        <v>4</v>
      </c>
      <c r="C16" s="20" t="s">
        <v>23</v>
      </c>
      <c r="D16" s="21" t="s">
        <v>81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2.5" customHeight="1">
      <c r="A17" s="22" t="s">
        <v>82</v>
      </c>
      <c r="B17" s="22">
        <v>0</v>
      </c>
      <c r="C17" s="22" t="s">
        <v>15</v>
      </c>
      <c r="D17" s="23" t="s">
        <v>83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2.5" customHeight="1">
      <c r="A18" s="20" t="s">
        <v>82</v>
      </c>
      <c r="B18" s="20">
        <v>1</v>
      </c>
      <c r="C18" s="20" t="s">
        <v>17</v>
      </c>
      <c r="D18" s="21" t="s">
        <v>84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2.5" customHeight="1">
      <c r="A19" s="22" t="s">
        <v>82</v>
      </c>
      <c r="B19" s="22">
        <v>2</v>
      </c>
      <c r="C19" s="22" t="s">
        <v>19</v>
      </c>
      <c r="D19" s="23" t="s">
        <v>85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2.5" customHeight="1">
      <c r="A20" s="20" t="s">
        <v>82</v>
      </c>
      <c r="B20" s="20">
        <v>3</v>
      </c>
      <c r="C20" s="20" t="s">
        <v>21</v>
      </c>
      <c r="D20" s="21" t="s">
        <v>86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2.5" customHeight="1">
      <c r="A21" s="22" t="s">
        <v>82</v>
      </c>
      <c r="B21" s="22">
        <v>4</v>
      </c>
      <c r="C21" s="22" t="s">
        <v>23</v>
      </c>
      <c r="D21" s="23" t="s">
        <v>87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 count="3">
    <dataValidation type="list" allowBlank="1" showDropDown="1" showErrorMessage="1" sqref="C2:C21" xr:uid="{00000000-0002-0000-0200-000000000000}">
      <formula1>"Inexistente,Básico/Reativo,Padronizado,Estratégico,Transformacional"</formula1>
    </dataValidation>
    <dataValidation type="custom" allowBlank="1" showDropDown="1" sqref="B2:B21" xr:uid="{00000000-0002-0000-0200-000001000000}">
      <formula1>AND(ISNUMBER(B2),(NOT(OR(NOT(ISERROR(DATEVALUE(B2))), AND(ISNUMBER(B2), LEFT(CELL("format", B2))="D")))))</formula1>
    </dataValidation>
    <dataValidation type="list" allowBlank="1" showDropDown="1" showErrorMessage="1" sqref="A2:A21" xr:uid="{00000000-0002-0000-0200-000002000000}">
      <formula1>"Estratégia de RH,Processos de RH,People Analytics,Liderança &amp; Cultura"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9"/>
  <sheetViews>
    <sheetView showGridLines="0" workbookViewId="0">
      <pane ySplit="1" topLeftCell="A2" activePane="bottomLeft" state="frozen"/>
      <selection pane="bottomLeft" activeCell="C14" sqref="C14"/>
    </sheetView>
  </sheetViews>
  <sheetFormatPr defaultColWidth="12.5703125" defaultRowHeight="15.75" customHeight="1"/>
  <cols>
    <col min="1" max="1" width="21.28515625" bestFit="1" customWidth="1"/>
    <col min="2" max="2" width="89" bestFit="1" customWidth="1"/>
    <col min="3" max="3" width="22.85546875" bestFit="1" customWidth="1"/>
    <col min="4" max="4" width="62.42578125" bestFit="1" customWidth="1"/>
  </cols>
  <sheetData>
    <row r="1" spans="1:26" ht="22.5" customHeight="1">
      <c r="A1" s="32" t="s">
        <v>88</v>
      </c>
      <c r="B1" s="32" t="s">
        <v>89</v>
      </c>
      <c r="C1" s="32" t="s">
        <v>90</v>
      </c>
      <c r="D1" s="32" t="s">
        <v>91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2.5" customHeight="1">
      <c r="A2" s="21" t="s">
        <v>64</v>
      </c>
      <c r="B2" s="21" t="s">
        <v>92</v>
      </c>
      <c r="C2" s="20">
        <v>0</v>
      </c>
      <c r="D2" s="21" t="str">
        <f ca="1">IFERROR(__xludf.DUMMYFUNCTION("IFERROR(
  INDEX(
    FILTER( 'Dimensões'!$D$2:$D$100,
            'Dimensões'!$A$2:$A$100 = $A2,
            'Dimensões'!$B$2:$B$100 = $C2
    ),
  1
 ),
"""")"),"Não há plano de RH; decisões totalmente reativas.")</f>
        <v>Não há plano de RH; decisões totalmente reativas.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2.5" customHeight="1">
      <c r="A3" s="23" t="s">
        <v>64</v>
      </c>
      <c r="B3" s="23" t="s">
        <v>93</v>
      </c>
      <c r="C3" s="22">
        <v>2</v>
      </c>
      <c r="D3" s="23" t="str">
        <f ca="1">IFERROR(__xludf.DUMMYFUNCTION("IFERROR(
  INDEX(
    FILTER( 'Dimensões'!$D$2:$D$100,
            'Dimensões'!$A$2:$A$100 = $A3,
            'Dimensões'!$B$2:$B$100 = $C3
    ),
  1
 ),
"""")"),"Processos de RH documentados e minimamente alinhados.")</f>
        <v>Processos de RH documentados e minimamente alinhados.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2.5" customHeight="1">
      <c r="A4" s="21" t="s">
        <v>70</v>
      </c>
      <c r="B4" s="21" t="s">
        <v>94</v>
      </c>
      <c r="C4" s="20">
        <v>2</v>
      </c>
      <c r="D4" s="21" t="str">
        <f ca="1">IFERROR(__xludf.DUMMYFUNCTION("IFERROR(
  INDEX(
    FILTER( 'Dimensões'!$D$2:$D$100,
            'Dimensões'!$A$2:$A$100 = $A4,
            'Dimensões'!$B$2:$B$100 = $C4
    ),
  1
 ),
"""")"),"Onboarding, R&amp;S e treinamento padronizados.")</f>
        <v>Onboarding, R&amp;S e treinamento padronizados.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2.5" customHeight="1">
      <c r="A5" s="23" t="s">
        <v>70</v>
      </c>
      <c r="B5" s="23" t="s">
        <v>95</v>
      </c>
      <c r="C5" s="22">
        <v>3</v>
      </c>
      <c r="D5" s="23" t="str">
        <f ca="1">IFERROR(__xludf.DUMMYFUNCTION("IFERROR(
  INDEX(
    FILTER( 'Dimensões'!$D$2:$D$100,
            'Dimensões'!$A$2:$A$100 = $A5,
            'Dimensões'!$B$2:$B$100 = $C5
    ),
  1
 ),
"""")"),"Processos orientados para valor e eficiência.")</f>
        <v>Processos orientados para valor e eficiência.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2.5" customHeight="1">
      <c r="A6" s="21" t="s">
        <v>76</v>
      </c>
      <c r="B6" s="21" t="s">
        <v>96</v>
      </c>
      <c r="C6" s="20">
        <v>2</v>
      </c>
      <c r="D6" s="21" t="str">
        <f ca="1">IFERROR(__xludf.DUMMYFUNCTION("IFERROR(
  INDEX(
    FILTER( 'Dimensões'!$D$2:$D$100,
            'Dimensões'!$A$2:$A$100 = $A6,
            'Dimensões'!$B$2:$B$100 = $C6
    ),
  1
 ),
"""")"),"KPIs básicos acompanhados mensalmente.")</f>
        <v>KPIs básicos acompanhados mensalmente.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2.5" customHeight="1">
      <c r="A7" s="23" t="s">
        <v>76</v>
      </c>
      <c r="B7" s="23" t="s">
        <v>97</v>
      </c>
      <c r="C7" s="22">
        <v>1</v>
      </c>
      <c r="D7" s="23" t="str">
        <f ca="1">IFERROR(__xludf.DUMMYFUNCTION("IFERROR(
  INDEX(
    FILTER( 'Dimensões'!$D$2:$D$100,
            'Dimensões'!$A$2:$A$100 = $A7,
            'Dimensões'!$B$2:$B$100 = $C7
    ),
  1
 ),
"""")"),"Relatórios pontuais, sem análise.")</f>
        <v>Relatórios pontuais, sem análise.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2.5" customHeight="1">
      <c r="A8" s="21" t="s">
        <v>82</v>
      </c>
      <c r="B8" s="21" t="s">
        <v>98</v>
      </c>
      <c r="C8" s="20">
        <v>2</v>
      </c>
      <c r="D8" s="21" t="str">
        <f ca="1">IFERROR(__xludf.DUMMYFUNCTION("IFERROR(
  INDEX(
    FILTER( 'Dimensões'!$D$2:$D$100,
            'Dimensões'!$A$2:$A$100 = $A8,
            'Dimensões'!$B$2:$B$100 = $C8
    ),
  1
 ),
"""")"),"Programas formais de liderança e valores definidos.")</f>
        <v>Programas formais de liderança e valores definidos.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2.5" customHeight="1">
      <c r="A9" s="23" t="s">
        <v>82</v>
      </c>
      <c r="B9" s="23" t="s">
        <v>99</v>
      </c>
      <c r="C9" s="22">
        <v>2</v>
      </c>
      <c r="D9" s="23" t="str">
        <f ca="1">IFERROR(__xludf.DUMMYFUNCTION("IFERROR(
  INDEX(
    FILTER( 'Dimensões'!$D$2:$D$100,
            'Dimensões'!$A$2:$A$100 = $A9,
            'Dimensões'!$B$2:$B$100 = $C9
    ),
  1
 ),
"""")"),"Programas formais de liderança e valores definidos.")</f>
        <v>Programas formais de liderança e valores definidos.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dataValidations count="1">
    <dataValidation type="list" allowBlank="1" sqref="C2:C9" xr:uid="{00000000-0002-0000-0300-000000000000}">
      <formula1>"4,3,2,1,0"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99"/>
  <sheetViews>
    <sheetView showGridLines="0" workbookViewId="0">
      <pane ySplit="1" topLeftCell="A2" activePane="bottomLeft" state="frozen"/>
      <selection pane="bottomLeft" activeCell="C8" sqref="C8"/>
    </sheetView>
  </sheetViews>
  <sheetFormatPr defaultColWidth="12.5703125" defaultRowHeight="15.75" customHeight="1"/>
  <cols>
    <col min="1" max="1" width="26.140625" customWidth="1"/>
    <col min="2" max="2" width="15.7109375" customWidth="1"/>
    <col min="3" max="3" width="21.42578125" customWidth="1"/>
    <col min="4" max="4" width="22.42578125" customWidth="1"/>
  </cols>
  <sheetData>
    <row r="1" spans="1:26" ht="22.5" customHeight="1">
      <c r="A1" s="19" t="s">
        <v>100</v>
      </c>
      <c r="B1" s="19" t="s">
        <v>101</v>
      </c>
      <c r="C1" s="19" t="s">
        <v>102</v>
      </c>
      <c r="D1" s="19" t="s">
        <v>103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2.5" customHeight="1">
      <c r="A2" s="21" t="s">
        <v>64</v>
      </c>
      <c r="B2" s="21">
        <f>COUNTIF(Diagnóstico[DIMENSÃO], $A2)</f>
        <v>2</v>
      </c>
      <c r="C2" s="21">
        <f>IF(B2=0, 0,
  SUMIF(Diagnóstico[DIMENSÃO], $A2, Diagnóstico[NÍVEL ESCOLHIDO])
)</f>
        <v>2</v>
      </c>
      <c r="D2" s="21">
        <f t="shared" ref="D2:D5" si="0">IF(B2=0, "", C2/B2)</f>
        <v>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2.5" customHeight="1">
      <c r="A3" s="23" t="s">
        <v>70</v>
      </c>
      <c r="B3" s="23">
        <f>COUNTIF(Diagnóstico[DIMENSÃO], $A3)</f>
        <v>2</v>
      </c>
      <c r="C3" s="23">
        <f>IF(B3=0, 0,
  SUMIF(Diagnóstico[DIMENSÃO], $A3, Diagnóstico[NÍVEL ESCOLHIDO])
)</f>
        <v>5</v>
      </c>
      <c r="D3" s="23">
        <f t="shared" si="0"/>
        <v>2.5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2.5" customHeight="1">
      <c r="A4" s="21" t="s">
        <v>76</v>
      </c>
      <c r="B4" s="21">
        <f>COUNTIF(Diagnóstico[DIMENSÃO], $A4)</f>
        <v>2</v>
      </c>
      <c r="C4" s="21">
        <f>IF(B4=0, 0,
  SUMIF(Diagnóstico[DIMENSÃO], $A4, Diagnóstico[NÍVEL ESCOLHIDO])
)</f>
        <v>3</v>
      </c>
      <c r="D4" s="21">
        <f t="shared" si="0"/>
        <v>1.5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2.5" customHeight="1">
      <c r="A5" s="23" t="s">
        <v>82</v>
      </c>
      <c r="B5" s="23">
        <f>COUNTIF(Diagnóstico[DIMENSÃO], $A5)</f>
        <v>2</v>
      </c>
      <c r="C5" s="23">
        <f>IF(B5=0, 0,
  SUMIF(Diagnóstico[DIMENSÃO], $A5, Diagnóstico[NÍVEL ESCOLHIDO])
)</f>
        <v>4</v>
      </c>
      <c r="D5" s="23">
        <f t="shared" si="0"/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0.25">
      <c r="A8" s="29" t="s">
        <v>104</v>
      </c>
      <c r="B8" s="30"/>
      <c r="C8" s="24">
        <f>ROUND(AVERAGE(D2:D5), 2)</f>
        <v>1.75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1">
    <mergeCell ref="A8:B8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showGridLines="0" workbookViewId="0">
      <pane ySplit="1" topLeftCell="A2" activePane="bottomLeft" state="frozen"/>
      <selection pane="bottomLeft" activeCell="H2" sqref="H2"/>
    </sheetView>
  </sheetViews>
  <sheetFormatPr defaultColWidth="12.5703125" defaultRowHeight="15.75" customHeight="1"/>
  <cols>
    <col min="1" max="1" width="21.42578125" customWidth="1"/>
    <col min="2" max="2" width="18.5703125" customWidth="1"/>
    <col min="3" max="3" width="17.42578125" customWidth="1"/>
    <col min="4" max="4" width="9.85546875" customWidth="1"/>
    <col min="5" max="5" width="28" customWidth="1"/>
    <col min="6" max="6" width="21.28515625" customWidth="1"/>
    <col min="7" max="7" width="20.5703125" customWidth="1"/>
    <col min="8" max="8" width="11" customWidth="1"/>
  </cols>
  <sheetData>
    <row r="1" spans="1:26" ht="22.5" customHeight="1">
      <c r="A1" s="32" t="s">
        <v>88</v>
      </c>
      <c r="B1" s="32" t="s">
        <v>105</v>
      </c>
      <c r="C1" s="32" t="s">
        <v>106</v>
      </c>
      <c r="D1" s="32" t="s">
        <v>107</v>
      </c>
      <c r="E1" s="32" t="s">
        <v>108</v>
      </c>
      <c r="F1" s="32" t="s">
        <v>109</v>
      </c>
      <c r="G1" s="32" t="s">
        <v>110</v>
      </c>
      <c r="H1" s="32" t="s">
        <v>111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2.5" customHeight="1">
      <c r="A2" s="20" t="s">
        <v>64</v>
      </c>
      <c r="B2" s="25">
        <f t="array" ref="B2">INDEX(Resultados[Maturidade Média], MATCH($A2, Resultados[Dimensão], 0))</f>
        <v>1</v>
      </c>
      <c r="C2" s="25">
        <v>3</v>
      </c>
      <c r="D2" s="25">
        <f>IF(C2="", "", C2-B2)</f>
        <v>2</v>
      </c>
      <c r="E2" s="33"/>
      <c r="F2" s="25"/>
      <c r="G2" s="25"/>
      <c r="H2" s="2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 count="2">
    <dataValidation type="list" allowBlank="1" showDropDown="1" showErrorMessage="1" sqref="A2" xr:uid="{00000000-0002-0000-0500-000000000000}">
      <formula1>"Estratégia de RH,Processos de RH,People Analytics,Liderança &amp; Cultura"</formula1>
    </dataValidation>
    <dataValidation type="list" allowBlank="1" showErrorMessage="1" sqref="F2" xr:uid="{00000000-0002-0000-0500-000001000000}">
      <formula1>"Alta,Média,Baixa"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4.140625" bestFit="1" customWidth="1"/>
    <col min="2" max="2" width="52.85546875" bestFit="1" customWidth="1"/>
    <col min="3" max="3" width="70.28515625" bestFit="1" customWidth="1"/>
  </cols>
  <sheetData>
    <row r="1" spans="1:26" ht="15.75" customHeight="1">
      <c r="A1" s="12" t="s">
        <v>112</v>
      </c>
      <c r="B1" s="13" t="s">
        <v>113</v>
      </c>
      <c r="C1" s="14" t="s">
        <v>114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8" t="s">
        <v>115</v>
      </c>
      <c r="B2" s="15" t="s">
        <v>116</v>
      </c>
      <c r="C2" s="16" t="s">
        <v>117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6" t="s">
        <v>76</v>
      </c>
      <c r="B3" s="17" t="s">
        <v>118</v>
      </c>
      <c r="C3" s="7" t="s">
        <v>119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8" t="s">
        <v>120</v>
      </c>
      <c r="B4" s="15" t="s">
        <v>121</v>
      </c>
      <c r="C4" s="16" t="s">
        <v>122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26" t="s">
        <v>123</v>
      </c>
      <c r="B5" s="27" t="s">
        <v>124</v>
      </c>
      <c r="C5" s="28" t="s">
        <v>125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Metas</vt:lpstr>
      <vt:lpstr>Config</vt:lpstr>
      <vt:lpstr>Dimensões</vt:lpstr>
      <vt:lpstr>Diagnóstico</vt:lpstr>
      <vt:lpstr>Resultados</vt:lpstr>
      <vt:lpstr>Plano de Ação</vt:lpstr>
      <vt:lpstr>Referenciais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TECHNO PLAST</cp:lastModifiedBy>
  <dcterms:modified xsi:type="dcterms:W3CDTF">2026-05-12T15:15:51Z</dcterms:modified>
</cp:coreProperties>
</file>